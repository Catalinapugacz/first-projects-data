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K:\GPO (MasterPlan Planta)\"/>
    </mc:Choice>
  </mc:AlternateContent>
  <bookViews>
    <workbookView xWindow="0" yWindow="0" windowWidth="23040" windowHeight="8904" activeTab="1"/>
  </bookViews>
  <sheets>
    <sheet name="Inicio" sheetId="1" r:id="rId1"/>
    <sheet name="Acciones" sheetId="2" r:id="rId2"/>
    <sheet name="Tablero" sheetId="3" r:id="rId3"/>
    <sheet name="Indicadores" sheetId="4" state="hidden" r:id="rId4"/>
    <sheet name="Listas" sheetId="5" state="hidden" r:id="rId5"/>
  </sheets>
  <externalReferences>
    <externalReference r:id="rId6"/>
  </externalReferences>
  <definedNames>
    <definedName name="_xlnm._FilterDatabase" localSheetId="1" hidden="1">Acciones!$B$2:$M$2</definedName>
    <definedName name="_xlnm._FilterDatabase" localSheetId="0" hidden="1">Inicio!$C$7:$K$7</definedName>
    <definedName name="TEMA" localSheetId="1">'[1]Metodología de RDI-Refineriass'!#REF!</definedName>
    <definedName name="Z_B60C2B29_843E_4A3D_B0FD_F091A51CE9F0_.wvu.Cols" localSheetId="1" hidden="1">Acciones!$G:$G,Acciones!$T:$U</definedName>
    <definedName name="Z_B60C2B29_843E_4A3D_B0FD_F091A51CE9F0_.wvu.Cols" localSheetId="0" hidden="1">Inicio!$F:$I</definedName>
    <definedName name="Z_B60C2B29_843E_4A3D_B0FD_F091A51CE9F0_.wvu.FilterData" localSheetId="1" hidden="1">Acciones!$B$2:$M$2</definedName>
    <definedName name="Z_B60C2B29_843E_4A3D_B0FD_F091A51CE9F0_.wvu.FilterData" localSheetId="0" hidden="1">Inicio!$C$7:$K$7</definedName>
  </definedNames>
  <calcPr calcId="162913"/>
  <customWorkbookViews>
    <customWorkbookView name="cpugacz - Vista personalizada" guid="{B60C2B29-843E-4A3D-B0FD-F091A51CE9F0}" mergeInterval="0" personalView="1" maximized="1" xWindow="-4" yWindow="-4" windowWidth="1928" windowHeight="103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1" i="2" l="1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I24" i="1" l="1"/>
  <c r="I13" i="1"/>
  <c r="E25" i="1"/>
  <c r="G19" i="5" s="1"/>
  <c r="E26" i="1"/>
  <c r="G20" i="5" s="1"/>
  <c r="E27" i="1"/>
  <c r="G21" i="5" s="1"/>
  <c r="E28" i="1"/>
  <c r="K28" i="1" s="1"/>
  <c r="E29" i="1"/>
  <c r="G23" i="5" s="1"/>
  <c r="E30" i="1"/>
  <c r="G24" i="5" s="1"/>
  <c r="E31" i="1"/>
  <c r="G25" i="5" s="1"/>
  <c r="E32" i="1"/>
  <c r="K32" i="1" s="1"/>
  <c r="E33" i="1"/>
  <c r="G27" i="5" s="1"/>
  <c r="E34" i="1"/>
  <c r="G28" i="5" s="1"/>
  <c r="E35" i="1"/>
  <c r="G29" i="5" s="1"/>
  <c r="E36" i="1"/>
  <c r="K36" i="1" s="1"/>
  <c r="E37" i="1"/>
  <c r="G31" i="5" s="1"/>
  <c r="E38" i="1"/>
  <c r="G32" i="5" s="1"/>
  <c r="E39" i="1"/>
  <c r="G33" i="5" s="1"/>
  <c r="E40" i="1"/>
  <c r="K40" i="1" s="1"/>
  <c r="E41" i="1"/>
  <c r="G35" i="5" s="1"/>
  <c r="E42" i="1"/>
  <c r="G36" i="5" s="1"/>
  <c r="E43" i="1"/>
  <c r="G37" i="5" s="1"/>
  <c r="E44" i="1"/>
  <c r="K44" i="1" s="1"/>
  <c r="E45" i="1"/>
  <c r="G39" i="5" s="1"/>
  <c r="E46" i="1"/>
  <c r="G40" i="5" s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K25" i="1"/>
  <c r="K26" i="1"/>
  <c r="K27" i="1"/>
  <c r="K29" i="1"/>
  <c r="K30" i="1"/>
  <c r="K31" i="1"/>
  <c r="K33" i="1"/>
  <c r="K34" i="1"/>
  <c r="K35" i="1"/>
  <c r="K37" i="1"/>
  <c r="K38" i="1"/>
  <c r="K39" i="1"/>
  <c r="K41" i="1"/>
  <c r="K42" i="1"/>
  <c r="K43" i="1"/>
  <c r="K45" i="1"/>
  <c r="K46" i="1"/>
  <c r="I19" i="4"/>
  <c r="J19" i="4" s="1"/>
  <c r="I20" i="4"/>
  <c r="J20" i="4" s="1"/>
  <c r="I21" i="4"/>
  <c r="J21" i="4" s="1"/>
  <c r="I23" i="4"/>
  <c r="J23" i="4" s="1"/>
  <c r="I24" i="4"/>
  <c r="J24" i="4" s="1"/>
  <c r="I25" i="4"/>
  <c r="J25" i="4" s="1"/>
  <c r="I27" i="4"/>
  <c r="J27" i="4" s="1"/>
  <c r="I28" i="4"/>
  <c r="J28" i="4" s="1"/>
  <c r="I29" i="4"/>
  <c r="J29" i="4" s="1"/>
  <c r="I31" i="4"/>
  <c r="J31" i="4" s="1"/>
  <c r="I32" i="4"/>
  <c r="J32" i="4" s="1"/>
  <c r="I33" i="4"/>
  <c r="J33" i="4" s="1"/>
  <c r="I35" i="4"/>
  <c r="J35" i="4" s="1"/>
  <c r="I36" i="4"/>
  <c r="J36" i="4" s="1"/>
  <c r="I37" i="4"/>
  <c r="J37" i="4" s="1"/>
  <c r="I39" i="4"/>
  <c r="J39" i="4" s="1"/>
  <c r="I40" i="4"/>
  <c r="J40" i="4" s="1"/>
  <c r="G38" i="5" l="1"/>
  <c r="G30" i="5"/>
  <c r="G26" i="5"/>
  <c r="G34" i="5"/>
  <c r="G22" i="5"/>
  <c r="I38" i="4"/>
  <c r="J38" i="4" s="1"/>
  <c r="I34" i="4"/>
  <c r="J34" i="4" s="1"/>
  <c r="I30" i="4"/>
  <c r="J30" i="4" s="1"/>
  <c r="I26" i="4"/>
  <c r="J26" i="4" s="1"/>
  <c r="I22" i="4"/>
  <c r="J22" i="4" s="1"/>
  <c r="A38" i="4"/>
  <c r="B38" i="4" s="1"/>
  <c r="G1" i="4" l="1"/>
  <c r="A26" i="4"/>
  <c r="A27" i="4"/>
  <c r="A28" i="4"/>
  <c r="A29" i="4"/>
  <c r="A30" i="4"/>
  <c r="A31" i="4"/>
  <c r="A32" i="4"/>
  <c r="A37" i="4"/>
  <c r="B37" i="4" s="1"/>
  <c r="A36" i="4"/>
  <c r="B36" i="4" s="1"/>
  <c r="A35" i="4"/>
  <c r="B35" i="4" s="1"/>
  <c r="A34" i="4"/>
  <c r="A33" i="4"/>
  <c r="B34" i="4" l="1"/>
  <c r="B28" i="4"/>
  <c r="B31" i="4"/>
  <c r="B27" i="4"/>
  <c r="B33" i="4"/>
  <c r="B32" i="4"/>
  <c r="B30" i="4"/>
  <c r="B26" i="4"/>
  <c r="B29" i="4"/>
  <c r="H14" i="1" l="1"/>
  <c r="H15" i="1"/>
  <c r="H16" i="1"/>
  <c r="H17" i="1"/>
  <c r="H18" i="1"/>
  <c r="H19" i="1"/>
  <c r="H20" i="1"/>
  <c r="H21" i="1"/>
  <c r="H22" i="1"/>
  <c r="H23" i="1"/>
  <c r="H24" i="1"/>
  <c r="B4" i="4"/>
  <c r="O1" i="3" l="1"/>
  <c r="J1" i="4" l="1"/>
  <c r="A9" i="4" l="1"/>
  <c r="B9" i="4" s="1"/>
  <c r="A8" i="4" l="1"/>
  <c r="A7" i="4"/>
  <c r="B7" i="4" s="1"/>
  <c r="A6" i="4"/>
  <c r="B6" i="4" s="1"/>
  <c r="A5" i="4"/>
  <c r="G3" i="2"/>
  <c r="G6" i="2"/>
  <c r="G5" i="2"/>
  <c r="G14" i="2"/>
  <c r="G7" i="2"/>
  <c r="G8" i="2"/>
  <c r="G15" i="2"/>
  <c r="G10" i="2"/>
  <c r="G11" i="2"/>
  <c r="G12" i="2"/>
  <c r="G13" i="2"/>
  <c r="G9" i="2"/>
  <c r="G4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K6" i="2"/>
  <c r="K3" i="2"/>
  <c r="K5" i="2"/>
  <c r="K14" i="2"/>
  <c r="K7" i="2"/>
  <c r="K8" i="2"/>
  <c r="K15" i="2"/>
  <c r="K10" i="2"/>
  <c r="K11" i="2"/>
  <c r="K12" i="2"/>
  <c r="K13" i="2"/>
  <c r="K9" i="2"/>
  <c r="K4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E14" i="1"/>
  <c r="G8" i="5" s="1"/>
  <c r="E15" i="1"/>
  <c r="G9" i="5" s="1"/>
  <c r="E16" i="1"/>
  <c r="G10" i="5" s="1"/>
  <c r="E17" i="1"/>
  <c r="G11" i="5" s="1"/>
  <c r="E18" i="1"/>
  <c r="G12" i="5" s="1"/>
  <c r="E19" i="1"/>
  <c r="G13" i="5" s="1"/>
  <c r="E20" i="1"/>
  <c r="G14" i="5" s="1"/>
  <c r="E21" i="1"/>
  <c r="E22" i="1"/>
  <c r="E23" i="1"/>
  <c r="E24" i="1"/>
  <c r="G18" i="5" s="1"/>
  <c r="F14" i="1"/>
  <c r="F15" i="1"/>
  <c r="F16" i="1"/>
  <c r="F17" i="1"/>
  <c r="F18" i="1"/>
  <c r="F19" i="1"/>
  <c r="F20" i="1"/>
  <c r="F21" i="1"/>
  <c r="F22" i="1"/>
  <c r="F23" i="1"/>
  <c r="F24" i="1"/>
  <c r="G14" i="1"/>
  <c r="G15" i="1"/>
  <c r="G16" i="1"/>
  <c r="G17" i="1"/>
  <c r="G18" i="1"/>
  <c r="G19" i="1"/>
  <c r="G20" i="1"/>
  <c r="G21" i="1"/>
  <c r="G22" i="1"/>
  <c r="G23" i="1"/>
  <c r="G24" i="1"/>
  <c r="I14" i="1"/>
  <c r="I15" i="1"/>
  <c r="I16" i="1"/>
  <c r="I17" i="1"/>
  <c r="I18" i="1"/>
  <c r="I19" i="1"/>
  <c r="I20" i="1"/>
  <c r="I21" i="1"/>
  <c r="I22" i="1"/>
  <c r="I23" i="1"/>
  <c r="K23" i="1" l="1"/>
  <c r="I17" i="4"/>
  <c r="J17" i="4" s="1"/>
  <c r="G17" i="5"/>
  <c r="K22" i="1"/>
  <c r="I16" i="4"/>
  <c r="J16" i="4" s="1"/>
  <c r="G16" i="5"/>
  <c r="G15" i="5"/>
  <c r="I15" i="4"/>
  <c r="J15" i="4" s="1"/>
  <c r="K24" i="1"/>
  <c r="I18" i="4"/>
  <c r="J18" i="4" s="1"/>
  <c r="K14" i="1"/>
  <c r="K21" i="1"/>
  <c r="K17" i="1"/>
  <c r="K20" i="1"/>
  <c r="K16" i="1"/>
  <c r="K18" i="1"/>
  <c r="K19" i="1"/>
  <c r="K15" i="1"/>
  <c r="I10" i="4"/>
  <c r="J10" i="4" s="1"/>
  <c r="I12" i="4"/>
  <c r="J12" i="4" s="1"/>
  <c r="I13" i="4"/>
  <c r="J13" i="4" s="1"/>
  <c r="I9" i="4"/>
  <c r="J9" i="4" s="1"/>
  <c r="I8" i="4"/>
  <c r="J8" i="4" s="1"/>
  <c r="I11" i="4"/>
  <c r="J11" i="4" s="1"/>
  <c r="B8" i="4"/>
  <c r="B5" i="4"/>
  <c r="G8" i="1" l="1"/>
  <c r="G9" i="1"/>
  <c r="G10" i="1"/>
  <c r="G11" i="1"/>
  <c r="G12" i="1"/>
  <c r="G13" i="1"/>
  <c r="F9" i="1" l="1"/>
  <c r="H9" i="1" s="1"/>
  <c r="F10" i="1"/>
  <c r="H10" i="1" s="1"/>
  <c r="F11" i="1"/>
  <c r="H11" i="1" s="1"/>
  <c r="F12" i="1"/>
  <c r="H12" i="1" s="1"/>
  <c r="F13" i="1"/>
  <c r="H13" i="1" s="1"/>
  <c r="F8" i="1"/>
  <c r="H8" i="1" s="1"/>
  <c r="I8" i="1" l="1"/>
  <c r="E8" i="1" s="1"/>
  <c r="K8" i="1" s="1"/>
  <c r="I10" i="1"/>
  <c r="E10" i="1" s="1"/>
  <c r="G4" i="5" s="1"/>
  <c r="E13" i="1"/>
  <c r="G7" i="5" s="1"/>
  <c r="I9" i="1"/>
  <c r="E9" i="1" s="1"/>
  <c r="G3" i="5" s="1"/>
  <c r="I12" i="1"/>
  <c r="E12" i="1" s="1"/>
  <c r="G6" i="5" s="1"/>
  <c r="I11" i="1"/>
  <c r="E11" i="1" s="1"/>
  <c r="G5" i="5" s="1"/>
  <c r="K12" i="1" l="1"/>
  <c r="K9" i="1"/>
  <c r="K13" i="1"/>
  <c r="K11" i="1"/>
  <c r="K10" i="1"/>
  <c r="G2" i="5"/>
  <c r="I14" i="4"/>
  <c r="J14" i="4" s="1"/>
  <c r="I2" i="4"/>
  <c r="I5" i="4"/>
  <c r="J5" i="4" s="1"/>
  <c r="I4" i="4"/>
  <c r="J4" i="4" s="1"/>
  <c r="I7" i="4"/>
  <c r="J7" i="4" s="1"/>
  <c r="I6" i="4"/>
  <c r="J6" i="4" s="1"/>
  <c r="I3" i="4"/>
  <c r="J3" i="4" s="1"/>
  <c r="N2" i="2"/>
  <c r="J2" i="4" l="1"/>
  <c r="H1" i="4"/>
  <c r="E18" i="4" l="1"/>
  <c r="F19" i="4"/>
  <c r="C19" i="4"/>
  <c r="G18" i="4"/>
  <c r="C18" i="4"/>
  <c r="D18" i="4"/>
  <c r="F18" i="4"/>
  <c r="G19" i="4"/>
  <c r="D19" i="4"/>
  <c r="E19" i="4"/>
  <c r="F17" i="4"/>
  <c r="C38" i="4"/>
  <c r="D38" i="4"/>
  <c r="D21" i="4"/>
  <c r="D5" i="4"/>
  <c r="F4" i="4"/>
  <c r="E22" i="4"/>
  <c r="D7" i="4"/>
  <c r="F20" i="4"/>
  <c r="C7" i="4"/>
  <c r="E8" i="4"/>
  <c r="G4" i="4"/>
  <c r="E16" i="4"/>
  <c r="E5" i="4"/>
  <c r="G20" i="4"/>
  <c r="G6" i="4"/>
  <c r="F16" i="4"/>
  <c r="C6" i="4"/>
  <c r="F22" i="4"/>
  <c r="G22" i="4"/>
  <c r="E7" i="4"/>
  <c r="C17" i="4"/>
  <c r="D17" i="4"/>
  <c r="F6" i="4"/>
  <c r="C9" i="4"/>
  <c r="G16" i="4"/>
  <c r="E17" i="4"/>
  <c r="E4" i="4"/>
  <c r="F21" i="4"/>
  <c r="G7" i="4"/>
  <c r="G8" i="4"/>
  <c r="C20" i="4"/>
  <c r="D6" i="4"/>
  <c r="D20" i="4"/>
  <c r="D16" i="4"/>
  <c r="G9" i="4"/>
  <c r="C22" i="4"/>
  <c r="D22" i="4"/>
  <c r="F8" i="4"/>
  <c r="C16" i="4"/>
  <c r="E21" i="4"/>
  <c r="F7" i="4"/>
  <c r="D8" i="4"/>
  <c r="C8" i="4"/>
  <c r="E6" i="4"/>
  <c r="F9" i="4"/>
  <c r="C21" i="4"/>
  <c r="D4" i="4"/>
  <c r="G5" i="4"/>
  <c r="G21" i="4"/>
  <c r="E20" i="4"/>
  <c r="G17" i="4"/>
  <c r="F5" i="4"/>
  <c r="E9" i="4"/>
  <c r="D32" i="4"/>
  <c r="D28" i="4"/>
  <c r="D34" i="4"/>
  <c r="D26" i="4"/>
  <c r="C33" i="4"/>
  <c r="C29" i="4"/>
  <c r="D27" i="4"/>
  <c r="D31" i="4"/>
  <c r="C34" i="4"/>
  <c r="C28" i="4"/>
  <c r="C27" i="4"/>
  <c r="C32" i="4"/>
  <c r="C26" i="4"/>
  <c r="D30" i="4"/>
  <c r="D33" i="4"/>
  <c r="D29" i="4"/>
  <c r="C31" i="4"/>
  <c r="C30" i="4"/>
  <c r="C35" i="4"/>
  <c r="D37" i="4"/>
  <c r="C36" i="4"/>
  <c r="D35" i="4"/>
  <c r="C5" i="4"/>
  <c r="C37" i="4"/>
  <c r="C4" i="4"/>
  <c r="D36" i="4"/>
  <c r="D9" i="4"/>
  <c r="C12" i="4" l="1"/>
  <c r="D12" i="4" s="1"/>
  <c r="F13" i="4"/>
  <c r="B3" i="3" l="1"/>
  <c r="C13" i="4"/>
  <c r="B15" i="3" s="1"/>
  <c r="D13" i="4" l="1"/>
</calcChain>
</file>

<file path=xl/comments1.xml><?xml version="1.0" encoding="utf-8"?>
<comments xmlns="http://schemas.openxmlformats.org/spreadsheetml/2006/main">
  <authors>
    <author>cpugacz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cpugacz:</t>
        </r>
        <r>
          <rPr>
            <sz val="9"/>
            <color indexed="81"/>
            <rFont val="Tahoma"/>
            <family val="2"/>
          </rPr>
          <t xml:space="preserve">
Elegir el subsector al cual está dirigido el plan. Si el plan es para toda la planta, elegir general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cpugacz:</t>
        </r>
        <r>
          <rPr>
            <sz val="9"/>
            <color indexed="81"/>
            <rFont val="Tahoma"/>
            <family val="2"/>
          </rPr>
          <t xml:space="preserve">
Elegir el objetivo GPO al cual va a estar orientado el plan de acción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cpugacz:</t>
        </r>
        <r>
          <rPr>
            <sz val="9"/>
            <color indexed="81"/>
            <rFont val="Tahoma"/>
            <family val="2"/>
          </rPr>
          <t xml:space="preserve">
El código se arma solo en base a los dos campos puestos anteriormente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cpugacz:</t>
        </r>
        <r>
          <rPr>
            <sz val="9"/>
            <color indexed="81"/>
            <rFont val="Tahoma"/>
            <family val="2"/>
          </rPr>
          <t xml:space="preserve">
Describir brevemente que aspecto general se va a trabajar en el plan de acción respecto del objetivo y subsector elegido.</t>
        </r>
      </text>
    </comment>
  </commentList>
</comments>
</file>

<file path=xl/sharedStrings.xml><?xml version="1.0" encoding="utf-8"?>
<sst xmlns="http://schemas.openxmlformats.org/spreadsheetml/2006/main" count="148" uniqueCount="120">
  <si>
    <t>Área</t>
  </si>
  <si>
    <t>Contenido</t>
  </si>
  <si>
    <t>Prioridad</t>
  </si>
  <si>
    <t>Responsable</t>
  </si>
  <si>
    <t>Fecha de fin prevista</t>
  </si>
  <si>
    <t>Fecha replanificada</t>
  </si>
  <si>
    <t>Fecha fin real</t>
  </si>
  <si>
    <t>Estado</t>
  </si>
  <si>
    <t>Comentarios</t>
  </si>
  <si>
    <t>Verificación In Situ</t>
  </si>
  <si>
    <t>MASTER PLAN</t>
  </si>
  <si>
    <t>Objetivo GPO</t>
  </si>
  <si>
    <t>Subsector</t>
  </si>
  <si>
    <t>Código de Plan</t>
  </si>
  <si>
    <t>Objetivos GPO</t>
  </si>
  <si>
    <t>OEE</t>
  </si>
  <si>
    <t>Eficiencia Energética</t>
  </si>
  <si>
    <t>Abreviación</t>
  </si>
  <si>
    <t>Efiencia de gas</t>
  </si>
  <si>
    <t>Merma</t>
  </si>
  <si>
    <t>Rendimiento</t>
  </si>
  <si>
    <t>Costo de no Calidad</t>
  </si>
  <si>
    <t>Reclamos</t>
  </si>
  <si>
    <t>Producto no conforme</t>
  </si>
  <si>
    <t>Accidentes</t>
  </si>
  <si>
    <t>Incidentes</t>
  </si>
  <si>
    <t>POES</t>
  </si>
  <si>
    <t>POE</t>
  </si>
  <si>
    <t>Índice de calidad</t>
  </si>
  <si>
    <t>Índice de procesos</t>
  </si>
  <si>
    <t>Desviaciones de proceso y producto</t>
  </si>
  <si>
    <t>EE</t>
  </si>
  <si>
    <t>EG</t>
  </si>
  <si>
    <t>MRM</t>
  </si>
  <si>
    <t>RND</t>
  </si>
  <si>
    <t>CNC</t>
  </si>
  <si>
    <t>IC</t>
  </si>
  <si>
    <t>IP</t>
  </si>
  <si>
    <t>DP</t>
  </si>
  <si>
    <t>RC</t>
  </si>
  <si>
    <t>PNC</t>
  </si>
  <si>
    <t>ACC</t>
  </si>
  <si>
    <t>INC</t>
  </si>
  <si>
    <t>Otro</t>
  </si>
  <si>
    <t>OTRO</t>
  </si>
  <si>
    <t>Cuenta CP</t>
  </si>
  <si>
    <t>Pre CP</t>
  </si>
  <si>
    <t>Planes</t>
  </si>
  <si>
    <t>Descripción</t>
  </si>
  <si>
    <t>Teórico</t>
  </si>
  <si>
    <t>Semana</t>
  </si>
  <si>
    <t>Retrasado</t>
  </si>
  <si>
    <t>En tiempo</t>
  </si>
  <si>
    <t>Cerrado</t>
  </si>
  <si>
    <t>Cerrado con retraso</t>
  </si>
  <si>
    <t>Faltan Fechas</t>
  </si>
  <si>
    <t>Acumulado</t>
  </si>
  <si>
    <t>ID plan</t>
  </si>
  <si>
    <t>Todo</t>
  </si>
  <si>
    <t>Cumplimiento del plan</t>
  </si>
  <si>
    <t>TAREAS POR ÁREA</t>
  </si>
  <si>
    <t>Muestra la cantidad de acciones asignadas a cada área, y su estado actual</t>
  </si>
  <si>
    <t>Cumplimiento global y por plan</t>
  </si>
  <si>
    <t>Aseg. Calidad</t>
  </si>
  <si>
    <t>Mantenimiento</t>
  </si>
  <si>
    <t>Procesos</t>
  </si>
  <si>
    <t>Producción</t>
  </si>
  <si>
    <t>Calidad</t>
  </si>
  <si>
    <t>Porcentaje de avance del plan</t>
  </si>
  <si>
    <t>Cumplimiento por área</t>
  </si>
  <si>
    <t>CUMPLIMIENTO DEL PLAN</t>
  </si>
  <si>
    <t>AVANCE DEL PLAN</t>
  </si>
  <si>
    <t>Cumplimiento teórico</t>
  </si>
  <si>
    <t>EVOLUTIVO SEMANAL DE TAREAS</t>
  </si>
  <si>
    <t>Indica el porcentaje del cumplimiento del plan respecto de las fechas programadas en un inicio</t>
  </si>
  <si>
    <t>Indica el porcentaje de tareas cerradas del total del plan, independientemente de las tareas cerradas con retraso</t>
  </si>
  <si>
    <t>Seleccione el Código de plan</t>
  </si>
  <si>
    <t>Para iniciar, completar el cuadro con los datos respecto del plan de acción que se desea abrir. Se generará un Código de Plan automáticamente, ese código se va a utilizar como guía para las acciones y el tablero. Después continuar a la pestaña azul de ''Acciones'' para describir las tareas. Los indicadores del plan se siguen en la pestaña negra ''Tablero''</t>
  </si>
  <si>
    <t>Seguimiento de Planes de Acción</t>
  </si>
  <si>
    <t>Abrev obj</t>
  </si>
  <si>
    <t>Abrev subsec</t>
  </si>
  <si>
    <t>Listado de Planes de acción del sector</t>
  </si>
  <si>
    <t>Muestra un evolutivo de las tareas en base a la fecha programada, relacionado con las últimas semanas</t>
  </si>
  <si>
    <t>Historial de cambios</t>
  </si>
  <si>
    <t>cpugacz</t>
  </si>
  <si>
    <t>Evolutivo semanal teórivo vs real</t>
  </si>
  <si>
    <t>Real</t>
  </si>
  <si>
    <t>COMPARATIVO SEMANAL AVANCE DEL PLAN</t>
  </si>
  <si>
    <t>Indica a lo largo de las semanas, el porcentaje de tareas que deberían estar realizadas a esa fecha, versus el porcentaje de tareas cerradas</t>
  </si>
  <si>
    <t>Fusión&amp;Molino, SSCC</t>
  </si>
  <si>
    <t>Cocción</t>
  </si>
  <si>
    <t>Planta de N</t>
  </si>
  <si>
    <t>Sistema de agua</t>
  </si>
  <si>
    <t>Sistema de aire</t>
  </si>
  <si>
    <t>Sistema de combustible líquido</t>
  </si>
  <si>
    <t>Sistema de tratamiento de efluentes</t>
  </si>
  <si>
    <t>Sistema de gas natural</t>
  </si>
  <si>
    <t>Sistema de generación vapor</t>
  </si>
  <si>
    <t>Clarificado Sebo</t>
  </si>
  <si>
    <t>Lavado Sebo</t>
  </si>
  <si>
    <t>Prensado</t>
  </si>
  <si>
    <t>Triturado</t>
  </si>
  <si>
    <t>Envasado HDC</t>
  </si>
  <si>
    <t>N2</t>
  </si>
  <si>
    <t>H2O</t>
  </si>
  <si>
    <t>AIR</t>
  </si>
  <si>
    <t>CA</t>
  </si>
  <si>
    <t>EFL</t>
  </si>
  <si>
    <t>GAS</t>
  </si>
  <si>
    <t>VAP</t>
  </si>
  <si>
    <t>CLR</t>
  </si>
  <si>
    <t>LAV</t>
  </si>
  <si>
    <t>COCC</t>
  </si>
  <si>
    <t>PREN</t>
  </si>
  <si>
    <t>TRT</t>
  </si>
  <si>
    <t>HDC</t>
  </si>
  <si>
    <t>Recepción y transporte</t>
  </si>
  <si>
    <t>RYT</t>
  </si>
  <si>
    <t>Desarrollo</t>
  </si>
  <si>
    <t>Laboratorio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</si>
</sst>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6"/>
      <color theme="1" tint="0.499984740745262"/>
      <name val="Bahnschrift"/>
      <family val="2"/>
    </font>
    <font>
      <sz val="12"/>
      <color theme="2" tint="-0.499984740745262"/>
      <name val="Calibri"/>
      <family val="2"/>
      <scheme val="minor"/>
    </font>
    <font>
      <b/>
      <sz val="40"/>
      <name val="Bahnschrift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180">
        <stop position="0">
          <color theme="0"/>
        </stop>
        <stop position="1">
          <color rgb="FF6E2220"/>
        </stop>
      </gradient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1" fillId="0" borderId="0" xfId="1" applyAlignment="1">
      <alignment vertical="center"/>
    </xf>
    <xf numFmtId="0" fontId="1" fillId="0" borderId="0" xfId="1" applyAlignment="1">
      <alignment vertical="center" wrapText="1"/>
    </xf>
    <xf numFmtId="0" fontId="3" fillId="0" borderId="0" xfId="1" applyFont="1" applyFill="1" applyAlignment="1">
      <alignment vertical="center" wrapText="1"/>
    </xf>
    <xf numFmtId="0" fontId="3" fillId="0" borderId="0" xfId="1" applyFont="1" applyAlignment="1">
      <alignment vertical="center" wrapText="1"/>
    </xf>
    <xf numFmtId="0" fontId="1" fillId="0" borderId="0" xfId="1" applyFont="1" applyAlignment="1" applyProtection="1">
      <alignment horizontal="center" vertical="center" wrapText="1"/>
      <protection locked="0"/>
    </xf>
    <xf numFmtId="0" fontId="1" fillId="0" borderId="0" xfId="1" applyFont="1" applyAlignment="1" applyProtection="1">
      <alignment vertical="center" wrapText="1"/>
      <protection locked="0"/>
    </xf>
    <xf numFmtId="0" fontId="1" fillId="0" borderId="0" xfId="1" applyFont="1" applyAlignment="1">
      <alignment horizontal="center" vertical="center" wrapText="1"/>
    </xf>
    <xf numFmtId="0" fontId="0" fillId="0" borderId="7" xfId="0" applyBorder="1"/>
    <xf numFmtId="0" fontId="0" fillId="0" borderId="5" xfId="0" applyBorder="1"/>
    <xf numFmtId="0" fontId="0" fillId="0" borderId="0" xfId="0" applyBorder="1"/>
    <xf numFmtId="0" fontId="2" fillId="0" borderId="0" xfId="0" applyFont="1"/>
    <xf numFmtId="0" fontId="0" fillId="0" borderId="3" xfId="0" applyBorder="1"/>
    <xf numFmtId="0" fontId="0" fillId="0" borderId="0" xfId="0" applyAlignment="1"/>
    <xf numFmtId="0" fontId="0" fillId="0" borderId="2" xfId="0" applyBorder="1"/>
    <xf numFmtId="0" fontId="0" fillId="0" borderId="1" xfId="0" applyBorder="1"/>
    <xf numFmtId="0" fontId="9" fillId="5" borderId="0" xfId="0" applyFont="1" applyFill="1"/>
    <xf numFmtId="9" fontId="0" fillId="0" borderId="0" xfId="3" applyFont="1"/>
    <xf numFmtId="9" fontId="0" fillId="0" borderId="0" xfId="0" applyNumberFormat="1"/>
    <xf numFmtId="22" fontId="3" fillId="0" borderId="0" xfId="1" applyNumberFormat="1" applyFont="1" applyFill="1" applyAlignment="1">
      <alignment vertical="center" wrapText="1"/>
    </xf>
    <xf numFmtId="0" fontId="0" fillId="0" borderId="0" xfId="1" applyFont="1" applyAlignment="1" applyProtection="1">
      <alignment horizontal="center" vertical="center" wrapText="1"/>
      <protection locked="0"/>
    </xf>
    <xf numFmtId="14" fontId="17" fillId="0" borderId="0" xfId="1" applyNumberFormat="1" applyFont="1" applyAlignment="1">
      <alignment vertical="center" wrapText="1"/>
    </xf>
    <xf numFmtId="0" fontId="1" fillId="0" borderId="0" xfId="1" applyAlignment="1" applyProtection="1">
      <alignment horizontal="center" vertical="center" wrapText="1"/>
      <protection locked="0"/>
    </xf>
    <xf numFmtId="22" fontId="3" fillId="0" borderId="0" xfId="1" applyNumberFormat="1" applyFont="1" applyFill="1" applyAlignment="1" applyProtection="1">
      <alignment horizontal="center" vertical="center" wrapText="1"/>
      <protection locked="0"/>
    </xf>
    <xf numFmtId="0" fontId="3" fillId="0" borderId="0" xfId="1" applyFont="1" applyFill="1" applyAlignment="1" applyProtection="1">
      <alignment horizontal="center" vertical="center" wrapText="1"/>
      <protection locked="0"/>
    </xf>
    <xf numFmtId="0" fontId="3" fillId="0" borderId="0" xfId="1" applyFont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 wrapText="1"/>
      <protection locked="0"/>
    </xf>
    <xf numFmtId="0" fontId="0" fillId="5" borderId="0" xfId="0" applyFill="1"/>
    <xf numFmtId="0" fontId="2" fillId="0" borderId="3" xfId="0" applyFont="1" applyBorder="1"/>
    <xf numFmtId="0" fontId="0" fillId="7" borderId="6" xfId="0" applyFont="1" applyFill="1" applyBorder="1" applyAlignment="1">
      <alignment horizontal="center" vertical="center"/>
    </xf>
    <xf numFmtId="0" fontId="0" fillId="7" borderId="3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Border="1" applyAlignment="1">
      <alignment wrapText="1"/>
    </xf>
    <xf numFmtId="0" fontId="2" fillId="0" borderId="6" xfId="0" applyFont="1" applyBorder="1" applyAlignment="1">
      <alignment horizontal="center" vertical="center" wrapText="1"/>
    </xf>
    <xf numFmtId="0" fontId="0" fillId="7" borderId="7" xfId="0" applyFont="1" applyFill="1" applyBorder="1"/>
    <xf numFmtId="0" fontId="0" fillId="0" borderId="7" xfId="0" applyFont="1" applyBorder="1"/>
    <xf numFmtId="0" fontId="0" fillId="0" borderId="6" xfId="0" applyFont="1" applyBorder="1" applyAlignment="1">
      <alignment horizontal="center" vertical="center"/>
    </xf>
    <xf numFmtId="0" fontId="0" fillId="0" borderId="7" xfId="0" applyNumberFormat="1" applyFont="1" applyBorder="1"/>
    <xf numFmtId="0" fontId="0" fillId="0" borderId="6" xfId="0" applyNumberFormat="1" applyFont="1" applyBorder="1" applyAlignment="1">
      <alignment horizontal="center" vertical="center"/>
    </xf>
    <xf numFmtId="0" fontId="0" fillId="7" borderId="7" xfId="0" applyNumberFormat="1" applyFont="1" applyFill="1" applyBorder="1"/>
    <xf numFmtId="0" fontId="0" fillId="7" borderId="6" xfId="0" applyNumberFormat="1" applyFont="1" applyFill="1" applyBorder="1" applyAlignment="1">
      <alignment horizontal="center" vertical="center"/>
    </xf>
    <xf numFmtId="0" fontId="0" fillId="7" borderId="4" xfId="0" applyFont="1" applyFill="1" applyBorder="1"/>
    <xf numFmtId="0" fontId="0" fillId="7" borderId="4" xfId="0" applyNumberFormat="1" applyFont="1" applyFill="1" applyBorder="1"/>
    <xf numFmtId="22" fontId="1" fillId="0" borderId="0" xfId="1" applyNumberFormat="1" applyAlignment="1" applyProtection="1">
      <alignment horizontal="center" vertical="center" wrapText="1"/>
      <protection locked="0"/>
    </xf>
    <xf numFmtId="0" fontId="18" fillId="2" borderId="7" xfId="1" applyNumberFormat="1" applyFont="1" applyFill="1" applyBorder="1" applyAlignment="1">
      <alignment horizontal="center" vertical="center" wrapText="1"/>
    </xf>
    <xf numFmtId="0" fontId="18" fillId="2" borderId="7" xfId="1" applyNumberFormat="1" applyFont="1" applyFill="1" applyBorder="1" applyAlignment="1">
      <alignment horizontal="center" vertical="center"/>
    </xf>
    <xf numFmtId="0" fontId="18" fillId="2" borderId="6" xfId="1" applyNumberFormat="1" applyFont="1" applyFill="1" applyBorder="1" applyAlignment="1">
      <alignment horizontal="center" vertical="center" wrapText="1"/>
    </xf>
    <xf numFmtId="14" fontId="4" fillId="0" borderId="7" xfId="1" applyNumberFormat="1" applyFont="1" applyBorder="1" applyAlignment="1">
      <alignment horizontal="center" vertical="center" wrapText="1"/>
    </xf>
    <xf numFmtId="14" fontId="3" fillId="0" borderId="7" xfId="1" applyNumberFormat="1" applyFont="1" applyBorder="1" applyAlignment="1">
      <alignment horizontal="center" vertical="center" wrapText="1"/>
    </xf>
    <xf numFmtId="14" fontId="3" fillId="0" borderId="4" xfId="1" applyNumberFormat="1" applyFont="1" applyBorder="1" applyAlignment="1">
      <alignment horizontal="center" vertical="center" wrapText="1"/>
    </xf>
    <xf numFmtId="0" fontId="0" fillId="7" borderId="7" xfId="0" applyFont="1" applyFill="1" applyBorder="1" applyProtection="1">
      <protection locked="0"/>
    </xf>
    <xf numFmtId="0" fontId="0" fillId="0" borderId="7" xfId="0" applyFont="1" applyBorder="1" applyProtection="1">
      <protection locked="0"/>
    </xf>
    <xf numFmtId="0" fontId="0" fillId="7" borderId="4" xfId="0" applyFont="1" applyFill="1" applyBorder="1" applyProtection="1">
      <protection locked="0"/>
    </xf>
    <xf numFmtId="0" fontId="3" fillId="0" borderId="7" xfId="1" applyNumberFormat="1" applyFont="1" applyBorder="1" applyAlignment="1" applyProtection="1">
      <alignment horizontal="center" vertical="center" wrapText="1"/>
      <protection locked="0"/>
    </xf>
    <xf numFmtId="14" fontId="4" fillId="0" borderId="7" xfId="1" applyNumberFormat="1" applyFont="1" applyBorder="1" applyAlignment="1" applyProtection="1">
      <alignment horizontal="center" vertical="center" wrapText="1"/>
      <protection locked="0"/>
    </xf>
    <xf numFmtId="0" fontId="4" fillId="0" borderId="7" xfId="1" applyNumberFormat="1" applyFont="1" applyBorder="1" applyAlignment="1" applyProtection="1">
      <alignment vertical="center" wrapText="1"/>
      <protection locked="0"/>
    </xf>
    <xf numFmtId="0" fontId="4" fillId="0" borderId="7" xfId="1" applyNumberFormat="1" applyFont="1" applyBorder="1" applyAlignment="1" applyProtection="1">
      <alignment horizontal="center" vertical="center" wrapText="1"/>
      <protection locked="0"/>
    </xf>
    <xf numFmtId="14" fontId="4" fillId="0" borderId="13" xfId="1" applyNumberFormat="1" applyFont="1" applyBorder="1" applyAlignment="1" applyProtection="1">
      <alignment horizontal="center" vertical="center" wrapText="1"/>
      <protection locked="0"/>
    </xf>
    <xf numFmtId="0" fontId="3" fillId="0" borderId="7" xfId="1" applyNumberFormat="1" applyFont="1" applyBorder="1" applyAlignment="1" applyProtection="1">
      <alignment horizontal="left" vertical="center" wrapText="1"/>
      <protection locked="0"/>
    </xf>
    <xf numFmtId="14" fontId="3" fillId="0" borderId="7" xfId="1" applyNumberFormat="1" applyFont="1" applyBorder="1" applyAlignment="1" applyProtection="1">
      <alignment horizontal="center" vertical="center" wrapText="1"/>
      <protection locked="0"/>
    </xf>
    <xf numFmtId="0" fontId="3" fillId="0" borderId="7" xfId="2" applyNumberFormat="1" applyFont="1" applyBorder="1" applyAlignment="1" applyProtection="1">
      <alignment horizontal="center" vertical="center" wrapText="1"/>
      <protection locked="0"/>
    </xf>
    <xf numFmtId="0" fontId="3" fillId="0" borderId="7" xfId="1" applyNumberFormat="1" applyFont="1" applyBorder="1" applyAlignment="1" applyProtection="1">
      <alignment vertical="center" wrapText="1"/>
      <protection locked="0"/>
    </xf>
    <xf numFmtId="0" fontId="3" fillId="0" borderId="7" xfId="2" applyNumberFormat="1" applyFont="1" applyBorder="1" applyAlignment="1" applyProtection="1">
      <alignment horizontal="left" vertical="center" wrapText="1"/>
      <protection locked="0"/>
    </xf>
    <xf numFmtId="16" fontId="3" fillId="0" borderId="7" xfId="1" applyNumberFormat="1" applyFont="1" applyBorder="1" applyAlignment="1" applyProtection="1">
      <alignment horizontal="center" vertical="center" wrapText="1"/>
      <protection locked="0"/>
    </xf>
    <xf numFmtId="14" fontId="3" fillId="0" borderId="13" xfId="1" applyNumberFormat="1" applyFont="1" applyBorder="1" applyAlignment="1" applyProtection="1">
      <alignment horizontal="center" vertical="center" wrapText="1"/>
      <protection locked="0"/>
    </xf>
    <xf numFmtId="164" fontId="4" fillId="0" borderId="7" xfId="1" applyNumberFormat="1" applyFont="1" applyBorder="1" applyAlignment="1" applyProtection="1">
      <alignment horizontal="center" vertical="center" wrapText="1"/>
      <protection locked="0"/>
    </xf>
    <xf numFmtId="164" fontId="3" fillId="0" borderId="7" xfId="1" applyNumberFormat="1" applyFont="1" applyBorder="1" applyAlignment="1" applyProtection="1">
      <alignment horizontal="center" vertical="center" wrapText="1"/>
      <protection locked="0"/>
    </xf>
    <xf numFmtId="0" fontId="3" fillId="0" borderId="4" xfId="1" applyNumberFormat="1" applyFont="1" applyBorder="1" applyAlignment="1" applyProtection="1">
      <alignment horizontal="center" vertical="center" wrapText="1"/>
      <protection locked="0"/>
    </xf>
    <xf numFmtId="164" fontId="4" fillId="0" borderId="4" xfId="1" applyNumberFormat="1" applyFont="1" applyBorder="1" applyAlignment="1" applyProtection="1">
      <alignment horizontal="center" vertical="center" wrapText="1"/>
      <protection locked="0"/>
    </xf>
    <xf numFmtId="0" fontId="3" fillId="0" borderId="4" xfId="1" applyNumberFormat="1" applyFont="1" applyBorder="1" applyAlignment="1" applyProtection="1">
      <alignment vertical="center" wrapText="1"/>
      <protection locked="0"/>
    </xf>
    <xf numFmtId="0" fontId="4" fillId="0" borderId="4" xfId="1" applyNumberFormat="1" applyFont="1" applyBorder="1" applyAlignment="1" applyProtection="1">
      <alignment horizontal="center" vertical="center" wrapText="1"/>
      <protection locked="0"/>
    </xf>
    <xf numFmtId="164" fontId="3" fillId="0" borderId="4" xfId="1" applyNumberFormat="1" applyFont="1" applyBorder="1" applyAlignment="1" applyProtection="1">
      <alignment horizontal="center" vertical="center" wrapText="1"/>
      <protection locked="0"/>
    </xf>
    <xf numFmtId="0" fontId="4" fillId="0" borderId="6" xfId="1" applyNumberFormat="1" applyFont="1" applyBorder="1" applyAlignment="1" applyProtection="1">
      <alignment horizontal="center" vertical="center" wrapText="1"/>
      <protection locked="0"/>
    </xf>
    <xf numFmtId="0" fontId="4" fillId="0" borderId="12" xfId="1" applyNumberFormat="1" applyFont="1" applyBorder="1" applyAlignment="1" applyProtection="1">
      <alignment horizontal="center" vertical="center" wrapText="1"/>
      <protection locked="0"/>
    </xf>
    <xf numFmtId="0" fontId="3" fillId="0" borderId="12" xfId="1" applyNumberFormat="1" applyFont="1" applyBorder="1" applyAlignment="1" applyProtection="1">
      <alignment horizontal="center" vertical="center" wrapText="1"/>
      <protection locked="0"/>
    </xf>
    <xf numFmtId="0" fontId="3" fillId="0" borderId="11" xfId="1" applyNumberFormat="1" applyFont="1" applyBorder="1" applyAlignment="1" applyProtection="1">
      <alignment horizontal="center" vertical="center" wrapText="1"/>
      <protection locked="0"/>
    </xf>
    <xf numFmtId="0" fontId="0" fillId="0" borderId="0" xfId="0" applyFont="1" applyAlignment="1">
      <alignment horizontal="left" vertical="center" wrapText="1"/>
    </xf>
    <xf numFmtId="0" fontId="14" fillId="2" borderId="0" xfId="0" applyFont="1" applyFill="1" applyAlignment="1">
      <alignment horizontal="center" vertical="center"/>
    </xf>
    <xf numFmtId="0" fontId="5" fillId="3" borderId="0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center" vertical="center"/>
    </xf>
    <xf numFmtId="0" fontId="0" fillId="0" borderId="0" xfId="1" applyFont="1" applyAlignment="1" applyProtection="1">
      <alignment horizontal="center" vertical="center" wrapText="1"/>
      <protection locked="0"/>
    </xf>
    <xf numFmtId="0" fontId="16" fillId="3" borderId="0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0" fontId="15" fillId="0" borderId="9" xfId="0" applyFont="1" applyBorder="1" applyAlignment="1" applyProtection="1">
      <alignment horizontal="center" vertical="center"/>
      <protection locked="0"/>
    </xf>
    <xf numFmtId="0" fontId="15" fillId="0" borderId="10" xfId="0" applyFont="1" applyBorder="1" applyAlignment="1" applyProtection="1">
      <alignment horizontal="center" vertical="center"/>
      <protection locked="0"/>
    </xf>
    <xf numFmtId="9" fontId="12" fillId="5" borderId="0" xfId="0" applyNumberFormat="1" applyFont="1" applyFill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Normal" xfId="0" builtinId="0"/>
    <cellStyle name="Normal 2 2" xfId="1"/>
    <cellStyle name="Normal 3 2" xfId="2"/>
    <cellStyle name="Porcentaje" xfId="3" builtinId="5"/>
  </cellStyles>
  <dxfs count="9">
    <dxf>
      <font>
        <color theme="8" tint="-0.499984740745262"/>
      </font>
      <fill>
        <patternFill>
          <bgColor theme="8" tint="0.59996337778862885"/>
        </patternFill>
      </fill>
    </dxf>
    <dxf>
      <font>
        <color rgb="FF7030A0"/>
      </font>
      <fill>
        <patternFill>
          <bgColor rgb="FFE9CBF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-0.499984740745262"/>
      </font>
      <fill>
        <patternFill>
          <bgColor theme="7" tint="0.59996337778862885"/>
        </patternFill>
      </fill>
    </dxf>
    <dxf>
      <font>
        <color rgb="FFC00000"/>
      </font>
      <fill>
        <patternFill>
          <bgColor rgb="FFFFCDCD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CDCD"/>
      <color rgb="FFE9CBF1"/>
      <color rgb="FFFDABA5"/>
      <color rgb="FFDBA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80"/>
        <c:holeSize val="69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85074288580879"/>
          <c:y val="7.3576328524580334E-2"/>
          <c:w val="0.41897661618397597"/>
          <c:h val="0.75576934521037931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44-47E0-AC07-3A036C9ED75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44-47E0-AC07-3A036C9ED755}"/>
              </c:ext>
            </c:extLst>
          </c:dPt>
          <c:val>
            <c:numRef>
              <c:f>Indicadores!$C$12:$D$12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44-47E0-AC07-3A036C9ED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85074288580879"/>
          <c:y val="7.3576328524580334E-2"/>
          <c:w val="0.41897661618397597"/>
          <c:h val="0.75576934521037931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gradFill flip="none" rotWithShape="1">
                <a:gsLst>
                  <a:gs pos="0">
                    <a:srgbClr val="C00000"/>
                  </a:gs>
                  <a:gs pos="68000">
                    <a:srgbClr val="FFFF00"/>
                  </a:gs>
                  <a:gs pos="85000">
                    <a:srgbClr val="00B050">
                      <a:lumMod val="94000"/>
                      <a:lumOff val="6000"/>
                    </a:srgbClr>
                  </a:gs>
                </a:gsLst>
                <a:lin ang="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D8-454B-BE74-909AE6A08246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3D8-454B-BE74-909AE6A08246}"/>
              </c:ext>
            </c:extLst>
          </c:dPt>
          <c:val>
            <c:numRef>
              <c:f>Indicadores!$C$13:$D$13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D8-454B-BE74-909AE6A08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Indicadores!$C$15</c:f>
              <c:strCache>
                <c:ptCount val="1"/>
                <c:pt idx="0">
                  <c:v>Retrasado</c:v>
                </c:pt>
              </c:strCache>
            </c:strRef>
          </c:tx>
          <c:spPr>
            <a:solidFill>
              <a:srgbClr val="FDABA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Indicadores!$B$16:$B$22</c:f>
              <c:strCache>
                <c:ptCount val="7"/>
                <c:pt idx="0">
                  <c:v>Aseg. Calidad</c:v>
                </c:pt>
                <c:pt idx="1">
                  <c:v>Calidad</c:v>
                </c:pt>
                <c:pt idx="2">
                  <c:v>Desarrollo</c:v>
                </c:pt>
                <c:pt idx="3">
                  <c:v>Laboratorio</c:v>
                </c:pt>
                <c:pt idx="4">
                  <c:v>Mantenimiento</c:v>
                </c:pt>
                <c:pt idx="5">
                  <c:v>Procesos</c:v>
                </c:pt>
                <c:pt idx="6">
                  <c:v>Producción</c:v>
                </c:pt>
              </c:strCache>
            </c:strRef>
          </c:cat>
          <c:val>
            <c:numRef>
              <c:f>Indicadores!$C$16:$C$22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DE-4C0A-B154-AF1FFC519BAC}"/>
            </c:ext>
          </c:extLst>
        </c:ser>
        <c:ser>
          <c:idx val="1"/>
          <c:order val="1"/>
          <c:tx>
            <c:strRef>
              <c:f>Indicadores!$D$15</c:f>
              <c:strCache>
                <c:ptCount val="1"/>
                <c:pt idx="0">
                  <c:v>En tiempo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Indicadores!$B$16:$B$22</c:f>
              <c:strCache>
                <c:ptCount val="7"/>
                <c:pt idx="0">
                  <c:v>Aseg. Calidad</c:v>
                </c:pt>
                <c:pt idx="1">
                  <c:v>Calidad</c:v>
                </c:pt>
                <c:pt idx="2">
                  <c:v>Desarrollo</c:v>
                </c:pt>
                <c:pt idx="3">
                  <c:v>Laboratorio</c:v>
                </c:pt>
                <c:pt idx="4">
                  <c:v>Mantenimiento</c:v>
                </c:pt>
                <c:pt idx="5">
                  <c:v>Procesos</c:v>
                </c:pt>
                <c:pt idx="6">
                  <c:v>Producción</c:v>
                </c:pt>
              </c:strCache>
            </c:strRef>
          </c:cat>
          <c:val>
            <c:numRef>
              <c:f>Indicadores!$D$16:$D$22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DE-4C0A-B154-AF1FFC519BAC}"/>
            </c:ext>
          </c:extLst>
        </c:ser>
        <c:ser>
          <c:idx val="2"/>
          <c:order val="2"/>
          <c:tx>
            <c:strRef>
              <c:f>Indicadores!$E$15</c:f>
              <c:strCache>
                <c:ptCount val="1"/>
                <c:pt idx="0">
                  <c:v>Cerrado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Indicadores!$B$16:$B$22</c:f>
              <c:strCache>
                <c:ptCount val="7"/>
                <c:pt idx="0">
                  <c:v>Aseg. Calidad</c:v>
                </c:pt>
                <c:pt idx="1">
                  <c:v>Calidad</c:v>
                </c:pt>
                <c:pt idx="2">
                  <c:v>Desarrollo</c:v>
                </c:pt>
                <c:pt idx="3">
                  <c:v>Laboratorio</c:v>
                </c:pt>
                <c:pt idx="4">
                  <c:v>Mantenimiento</c:v>
                </c:pt>
                <c:pt idx="5">
                  <c:v>Procesos</c:v>
                </c:pt>
                <c:pt idx="6">
                  <c:v>Producción</c:v>
                </c:pt>
              </c:strCache>
            </c:strRef>
          </c:cat>
          <c:val>
            <c:numRef>
              <c:f>Indicadores!$E$16:$E$22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DE-4C0A-B154-AF1FFC519BAC}"/>
            </c:ext>
          </c:extLst>
        </c:ser>
        <c:ser>
          <c:idx val="3"/>
          <c:order val="3"/>
          <c:tx>
            <c:strRef>
              <c:f>Indicadores!$F$15</c:f>
              <c:strCache>
                <c:ptCount val="1"/>
                <c:pt idx="0">
                  <c:v>Cerrado con retraso</c:v>
                </c:pt>
              </c:strCache>
            </c:strRef>
          </c:tx>
          <c:spPr>
            <a:solidFill>
              <a:srgbClr val="E9CBF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Indicadores!$B$16:$B$22</c:f>
              <c:strCache>
                <c:ptCount val="7"/>
                <c:pt idx="0">
                  <c:v>Aseg. Calidad</c:v>
                </c:pt>
                <c:pt idx="1">
                  <c:v>Calidad</c:v>
                </c:pt>
                <c:pt idx="2">
                  <c:v>Desarrollo</c:v>
                </c:pt>
                <c:pt idx="3">
                  <c:v>Laboratorio</c:v>
                </c:pt>
                <c:pt idx="4">
                  <c:v>Mantenimiento</c:v>
                </c:pt>
                <c:pt idx="5">
                  <c:v>Procesos</c:v>
                </c:pt>
                <c:pt idx="6">
                  <c:v>Producción</c:v>
                </c:pt>
              </c:strCache>
            </c:strRef>
          </c:cat>
          <c:val>
            <c:numRef>
              <c:f>Indicadores!$F$16:$F$22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DE-4C0A-B154-AF1FFC519BAC}"/>
            </c:ext>
          </c:extLst>
        </c:ser>
        <c:ser>
          <c:idx val="4"/>
          <c:order val="4"/>
          <c:tx>
            <c:strRef>
              <c:f>Indicadores!$G$15</c:f>
              <c:strCache>
                <c:ptCount val="1"/>
                <c:pt idx="0">
                  <c:v>Faltan Fechas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Indicadores!$B$16:$B$22</c:f>
              <c:strCache>
                <c:ptCount val="7"/>
                <c:pt idx="0">
                  <c:v>Aseg. Calidad</c:v>
                </c:pt>
                <c:pt idx="1">
                  <c:v>Calidad</c:v>
                </c:pt>
                <c:pt idx="2">
                  <c:v>Desarrollo</c:v>
                </c:pt>
                <c:pt idx="3">
                  <c:v>Laboratorio</c:v>
                </c:pt>
                <c:pt idx="4">
                  <c:v>Mantenimiento</c:v>
                </c:pt>
                <c:pt idx="5">
                  <c:v>Procesos</c:v>
                </c:pt>
                <c:pt idx="6">
                  <c:v>Producción</c:v>
                </c:pt>
              </c:strCache>
            </c:strRef>
          </c:cat>
          <c:val>
            <c:numRef>
              <c:f>Indicadores!$G$16:$G$22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DE-4C0A-B154-AF1FFC519B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66353344"/>
        <c:axId val="1966358336"/>
      </c:barChart>
      <c:catAx>
        <c:axId val="196635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66358336"/>
        <c:crosses val="autoZero"/>
        <c:auto val="1"/>
        <c:lblAlgn val="ctr"/>
        <c:lblOffset val="100"/>
        <c:noMultiLvlLbl val="0"/>
      </c:catAx>
      <c:valAx>
        <c:axId val="196635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6635334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362768381960914E-2"/>
          <c:y val="0.93363119042087217"/>
          <c:w val="0.9647947253949295"/>
          <c:h val="4.896068711367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Indicadores!$C$3</c:f>
              <c:strCache>
                <c:ptCount val="1"/>
                <c:pt idx="0">
                  <c:v>Retrasado</c:v>
                </c:pt>
              </c:strCache>
            </c:strRef>
          </c:tx>
          <c:spPr>
            <a:solidFill>
              <a:srgbClr val="FDABA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Indicadores!$B$4:$B$9</c:f>
              <c:strCache>
                <c:ptCount val="6"/>
                <c:pt idx="0">
                  <c:v>Acumulado</c:v>
                </c:pt>
                <c:pt idx="1">
                  <c:v>Semana 35</c:v>
                </c:pt>
                <c:pt idx="2">
                  <c:v>Semana 36</c:v>
                </c:pt>
                <c:pt idx="3">
                  <c:v>Semana 37</c:v>
                </c:pt>
                <c:pt idx="4">
                  <c:v>Semana 38</c:v>
                </c:pt>
                <c:pt idx="5">
                  <c:v>Semana 39</c:v>
                </c:pt>
              </c:strCache>
            </c:strRef>
          </c:cat>
          <c:val>
            <c:numRef>
              <c:f>Indicadores!$C$4:$C$9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0C-4A50-B819-6169E42A1973}"/>
            </c:ext>
          </c:extLst>
        </c:ser>
        <c:ser>
          <c:idx val="1"/>
          <c:order val="1"/>
          <c:tx>
            <c:strRef>
              <c:f>Indicadores!$D$3</c:f>
              <c:strCache>
                <c:ptCount val="1"/>
                <c:pt idx="0">
                  <c:v>En tiempo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Indicadores!$B$4:$B$9</c:f>
              <c:strCache>
                <c:ptCount val="6"/>
                <c:pt idx="0">
                  <c:v>Acumulado</c:v>
                </c:pt>
                <c:pt idx="1">
                  <c:v>Semana 35</c:v>
                </c:pt>
                <c:pt idx="2">
                  <c:v>Semana 36</c:v>
                </c:pt>
                <c:pt idx="3">
                  <c:v>Semana 37</c:v>
                </c:pt>
                <c:pt idx="4">
                  <c:v>Semana 38</c:v>
                </c:pt>
                <c:pt idx="5">
                  <c:v>Semana 39</c:v>
                </c:pt>
              </c:strCache>
            </c:strRef>
          </c:cat>
          <c:val>
            <c:numRef>
              <c:f>Indicadores!$D$4:$D$9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0C-4A50-B819-6169E42A1973}"/>
            </c:ext>
          </c:extLst>
        </c:ser>
        <c:ser>
          <c:idx val="2"/>
          <c:order val="2"/>
          <c:tx>
            <c:strRef>
              <c:f>Indicadores!$E$3</c:f>
              <c:strCache>
                <c:ptCount val="1"/>
                <c:pt idx="0">
                  <c:v>Cerrado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Indicadores!$B$4:$B$9</c:f>
              <c:strCache>
                <c:ptCount val="6"/>
                <c:pt idx="0">
                  <c:v>Acumulado</c:v>
                </c:pt>
                <c:pt idx="1">
                  <c:v>Semana 35</c:v>
                </c:pt>
                <c:pt idx="2">
                  <c:v>Semana 36</c:v>
                </c:pt>
                <c:pt idx="3">
                  <c:v>Semana 37</c:v>
                </c:pt>
                <c:pt idx="4">
                  <c:v>Semana 38</c:v>
                </c:pt>
                <c:pt idx="5">
                  <c:v>Semana 39</c:v>
                </c:pt>
              </c:strCache>
            </c:strRef>
          </c:cat>
          <c:val>
            <c:numRef>
              <c:f>Indicadores!$E$4:$E$9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0C-4A50-B819-6169E42A1973}"/>
            </c:ext>
          </c:extLst>
        </c:ser>
        <c:ser>
          <c:idx val="3"/>
          <c:order val="3"/>
          <c:tx>
            <c:strRef>
              <c:f>Indicadores!$F$3</c:f>
              <c:strCache>
                <c:ptCount val="1"/>
                <c:pt idx="0">
                  <c:v>Cerrado con retraso</c:v>
                </c:pt>
              </c:strCache>
            </c:strRef>
          </c:tx>
          <c:spPr>
            <a:solidFill>
              <a:srgbClr val="E9CBF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Indicadores!$B$4:$B$9</c:f>
              <c:strCache>
                <c:ptCount val="6"/>
                <c:pt idx="0">
                  <c:v>Acumulado</c:v>
                </c:pt>
                <c:pt idx="1">
                  <c:v>Semana 35</c:v>
                </c:pt>
                <c:pt idx="2">
                  <c:v>Semana 36</c:v>
                </c:pt>
                <c:pt idx="3">
                  <c:v>Semana 37</c:v>
                </c:pt>
                <c:pt idx="4">
                  <c:v>Semana 38</c:v>
                </c:pt>
                <c:pt idx="5">
                  <c:v>Semana 39</c:v>
                </c:pt>
              </c:strCache>
            </c:strRef>
          </c:cat>
          <c:val>
            <c:numRef>
              <c:f>Indicadores!$F$4:$F$9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0C-4A50-B819-6169E42A1973}"/>
            </c:ext>
          </c:extLst>
        </c:ser>
        <c:ser>
          <c:idx val="4"/>
          <c:order val="4"/>
          <c:tx>
            <c:strRef>
              <c:f>Indicadores!$G$3</c:f>
              <c:strCache>
                <c:ptCount val="1"/>
                <c:pt idx="0">
                  <c:v>Faltan Fechas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Indicadores!$B$4:$B$9</c:f>
              <c:strCache>
                <c:ptCount val="6"/>
                <c:pt idx="0">
                  <c:v>Acumulado</c:v>
                </c:pt>
                <c:pt idx="1">
                  <c:v>Semana 35</c:v>
                </c:pt>
                <c:pt idx="2">
                  <c:v>Semana 36</c:v>
                </c:pt>
                <c:pt idx="3">
                  <c:v>Semana 37</c:v>
                </c:pt>
                <c:pt idx="4">
                  <c:v>Semana 38</c:v>
                </c:pt>
                <c:pt idx="5">
                  <c:v>Semana 39</c:v>
                </c:pt>
              </c:strCache>
            </c:strRef>
          </c:cat>
          <c:val>
            <c:numRef>
              <c:f>Indicadores!$G$4:$G$9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0C-4A50-B819-6169E42A197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077065984"/>
        <c:axId val="2077069728"/>
      </c:barChart>
      <c:catAx>
        <c:axId val="207706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77069728"/>
        <c:crosses val="autoZero"/>
        <c:auto val="1"/>
        <c:lblAlgn val="ctr"/>
        <c:lblOffset val="100"/>
        <c:noMultiLvlLbl val="0"/>
      </c:catAx>
      <c:valAx>
        <c:axId val="207706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7706598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Indicadores!$C$25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Indicadores!$B$26:$B$38</c:f>
              <c:strCache>
                <c:ptCount val="13"/>
                <c:pt idx="0">
                  <c:v>Semana 28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  <c:pt idx="6">
                  <c:v>Semana 34</c:v>
                </c:pt>
                <c:pt idx="7">
                  <c:v>Semana 35</c:v>
                </c:pt>
                <c:pt idx="8">
                  <c:v>Semana 36</c:v>
                </c:pt>
                <c:pt idx="9">
                  <c:v>Semana 37</c:v>
                </c:pt>
                <c:pt idx="10">
                  <c:v>Semana 38</c:v>
                </c:pt>
                <c:pt idx="11">
                  <c:v>Semana 39</c:v>
                </c:pt>
                <c:pt idx="12">
                  <c:v>Semana 40</c:v>
                </c:pt>
              </c:strCache>
            </c:strRef>
          </c:cat>
          <c:val>
            <c:numRef>
              <c:f>Indicadores!$C$26:$C$38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3-45C0-93CD-A80810421809}"/>
            </c:ext>
          </c:extLst>
        </c:ser>
        <c:ser>
          <c:idx val="1"/>
          <c:order val="1"/>
          <c:tx>
            <c:strRef>
              <c:f>Indicadores!$D$25</c:f>
              <c:strCache>
                <c:ptCount val="1"/>
                <c:pt idx="0">
                  <c:v>Teórico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Indicadores!$B$26:$B$38</c:f>
              <c:strCache>
                <c:ptCount val="13"/>
                <c:pt idx="0">
                  <c:v>Semana 28</c:v>
                </c:pt>
                <c:pt idx="1">
                  <c:v>Semana 29</c:v>
                </c:pt>
                <c:pt idx="2">
                  <c:v>Semana 30</c:v>
                </c:pt>
                <c:pt idx="3">
                  <c:v>Semana 31</c:v>
                </c:pt>
                <c:pt idx="4">
                  <c:v>Semana 32</c:v>
                </c:pt>
                <c:pt idx="5">
                  <c:v>Semana 33</c:v>
                </c:pt>
                <c:pt idx="6">
                  <c:v>Semana 34</c:v>
                </c:pt>
                <c:pt idx="7">
                  <c:v>Semana 35</c:v>
                </c:pt>
                <c:pt idx="8">
                  <c:v>Semana 36</c:v>
                </c:pt>
                <c:pt idx="9">
                  <c:v>Semana 37</c:v>
                </c:pt>
                <c:pt idx="10">
                  <c:v>Semana 38</c:v>
                </c:pt>
                <c:pt idx="11">
                  <c:v>Semana 39</c:v>
                </c:pt>
                <c:pt idx="12">
                  <c:v>Semana 40</c:v>
                </c:pt>
              </c:strCache>
            </c:strRef>
          </c:cat>
          <c:val>
            <c:numRef>
              <c:f>Indicadores!$D$26:$D$38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3-45C0-93CD-A808104218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237545807"/>
        <c:axId val="237547471"/>
      </c:lineChart>
      <c:catAx>
        <c:axId val="23754580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547471"/>
        <c:crosses val="autoZero"/>
        <c:auto val="1"/>
        <c:lblAlgn val="ctr"/>
        <c:lblOffset val="100"/>
        <c:noMultiLvlLbl val="0"/>
      </c:catAx>
      <c:valAx>
        <c:axId val="23754747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545807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104352</xdr:colOff>
      <xdr:row>0</xdr:row>
      <xdr:rowOff>62865</xdr:rowOff>
    </xdr:from>
    <xdr:to>
      <xdr:col>1</xdr:col>
      <xdr:colOff>739140</xdr:colOff>
      <xdr:row>0</xdr:row>
      <xdr:rowOff>533400</xdr:rowOff>
    </xdr:to>
    <xdr:pic>
      <xdr:nvPicPr>
        <xdr:cNvPr id="2" name="1 Imagen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16" t="32227" r="10877" b="32701"/>
        <a:stretch/>
      </xdr:blipFill>
      <xdr:spPr>
        <a:xfrm>
          <a:off x="104352" y="62865"/>
          <a:ext cx="1427268" cy="470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16086</xdr:colOff>
      <xdr:row>0</xdr:row>
      <xdr:rowOff>846</xdr:rowOff>
    </xdr:from>
    <xdr:to>
      <xdr:col>2</xdr:col>
      <xdr:colOff>727074</xdr:colOff>
      <xdr:row>1</xdr:row>
      <xdr:rowOff>37041</xdr:rowOff>
    </xdr:to>
    <xdr:pic>
      <xdr:nvPicPr>
        <xdr:cNvPr id="2" name="1 Imagen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16" t="32227" r="10877" b="32701"/>
        <a:stretch/>
      </xdr:blipFill>
      <xdr:spPr>
        <a:xfrm>
          <a:off x="16086" y="846"/>
          <a:ext cx="1557655" cy="501862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13</xdr:row>
      <xdr:rowOff>57150</xdr:rowOff>
    </xdr:from>
    <xdr:to>
      <xdr:col>14</xdr:col>
      <xdr:colOff>381000</xdr:colOff>
      <xdr:row>21</xdr:row>
      <xdr:rowOff>57150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16932</xdr:colOff>
      <xdr:row>0</xdr:row>
      <xdr:rowOff>287867</xdr:rowOff>
    </xdr:from>
    <xdr:to>
      <xdr:col>6</xdr:col>
      <xdr:colOff>0</xdr:colOff>
      <xdr:row>10</xdr:row>
      <xdr:rowOff>211667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12</xdr:row>
      <xdr:rowOff>84667</xdr:rowOff>
    </xdr:from>
    <xdr:to>
      <xdr:col>5</xdr:col>
      <xdr:colOff>778934</xdr:colOff>
      <xdr:row>22</xdr:row>
      <xdr:rowOff>220135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25401</xdr:colOff>
      <xdr:row>3</xdr:row>
      <xdr:rowOff>8467</xdr:rowOff>
    </xdr:from>
    <xdr:to>
      <xdr:col>11</xdr:col>
      <xdr:colOff>762000</xdr:colOff>
      <xdr:row>21</xdr:row>
      <xdr:rowOff>135466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8466</xdr:colOff>
      <xdr:row>3</xdr:row>
      <xdr:rowOff>67734</xdr:rowOff>
    </xdr:from>
    <xdr:to>
      <xdr:col>18</xdr:col>
      <xdr:colOff>0</xdr:colOff>
      <xdr:row>21</xdr:row>
      <xdr:rowOff>143933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16933</xdr:colOff>
      <xdr:row>26</xdr:row>
      <xdr:rowOff>16934</xdr:rowOff>
    </xdr:from>
    <xdr:to>
      <xdr:col>17</xdr:col>
      <xdr:colOff>787400</xdr:colOff>
      <xdr:row>40</xdr:row>
      <xdr:rowOff>118110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Metodolog&#237;a%20de%20RDI-Refineri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inutaa"/>
      <sheetName val="Tareas"/>
      <sheetName val="Hoja de Ruta"/>
      <sheetName val="Registro"/>
      <sheetName val="Modelo"/>
      <sheetName val="Referencias"/>
      <sheetName val="IMPLEMENTACIÓN"/>
      <sheetName val="Metodología de RDI-Refineriass"/>
      <sheetName val="Listas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00B050"/>
  </sheetPr>
  <dimension ref="A1:N46"/>
  <sheetViews>
    <sheetView showGridLines="0" workbookViewId="0">
      <selection activeCell="D8" sqref="D8"/>
    </sheetView>
  </sheetViews>
  <sheetFormatPr baseColWidth="10" defaultRowHeight="14.4" x14ac:dyDescent="0.3"/>
  <cols>
    <col min="2" max="2" width="14.44140625" customWidth="1"/>
    <col min="3" max="3" width="18.5546875" customWidth="1"/>
    <col min="4" max="4" width="17.21875" customWidth="1"/>
    <col min="6" max="9" width="17.21875" hidden="1" customWidth="1"/>
    <col min="10" max="10" width="57.88671875" customWidth="1"/>
    <col min="11" max="11" width="15.5546875" customWidth="1"/>
  </cols>
  <sheetData>
    <row r="1" spans="1:14" ht="46.2" x14ac:dyDescent="0.3">
      <c r="A1" s="10"/>
      <c r="B1" s="10"/>
      <c r="C1" s="78" t="s">
        <v>10</v>
      </c>
      <c r="D1" s="78"/>
      <c r="E1" s="78"/>
      <c r="F1" s="78"/>
      <c r="G1" s="78"/>
      <c r="H1" s="78"/>
      <c r="I1" s="78"/>
      <c r="J1" s="78"/>
      <c r="K1" s="79" t="s">
        <v>89</v>
      </c>
      <c r="L1" s="79"/>
      <c r="M1" s="79"/>
      <c r="N1" s="79"/>
    </row>
    <row r="2" spans="1:14" ht="6.6" customHeight="1" x14ac:dyDescent="0.3"/>
    <row r="3" spans="1:14" ht="14.4" customHeight="1" x14ac:dyDescent="0.3">
      <c r="A3" s="76" t="s">
        <v>77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4" x14ac:dyDescent="0.3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</row>
    <row r="5" spans="1:14" ht="5.4" customHeight="1" x14ac:dyDescent="0.3"/>
    <row r="6" spans="1:14" ht="19.2" customHeight="1" x14ac:dyDescent="0.3">
      <c r="C6" s="77" t="s">
        <v>81</v>
      </c>
      <c r="D6" s="77"/>
      <c r="E6" s="77"/>
      <c r="F6" s="77"/>
      <c r="G6" s="77"/>
      <c r="H6" s="77"/>
      <c r="I6" s="77"/>
      <c r="J6" s="77"/>
      <c r="K6" s="77"/>
    </row>
    <row r="7" spans="1:14" ht="28.8" x14ac:dyDescent="0.3">
      <c r="C7" s="31" t="s">
        <v>12</v>
      </c>
      <c r="D7" s="31" t="s">
        <v>11</v>
      </c>
      <c r="E7" s="31" t="s">
        <v>13</v>
      </c>
      <c r="F7" s="32" t="s">
        <v>79</v>
      </c>
      <c r="G7" s="32" t="s">
        <v>80</v>
      </c>
      <c r="H7" s="32" t="s">
        <v>46</v>
      </c>
      <c r="I7" s="32" t="s">
        <v>45</v>
      </c>
      <c r="J7" s="31" t="s">
        <v>48</v>
      </c>
      <c r="K7" s="33" t="s">
        <v>7</v>
      </c>
    </row>
    <row r="8" spans="1:14" x14ac:dyDescent="0.3">
      <c r="C8" s="50"/>
      <c r="D8" s="50"/>
      <c r="E8" s="34" t="str">
        <f t="shared" ref="E8:E24" si="0">IF(D8=ISBLANK(TRUE)," ",I8&amp;"."&amp;H8)</f>
        <v xml:space="preserve"> </v>
      </c>
      <c r="F8" s="34" t="str">
        <f>+IFERROR(VLOOKUP(D8,Listas!$A$2:$B$20,2,FALSE)," ")</f>
        <v xml:space="preserve"> </v>
      </c>
      <c r="G8" s="34" t="str">
        <f>IFERROR(VLOOKUP(C8,Listas!$D$2:$E$15,2,FALSE)," ")</f>
        <v xml:space="preserve"> </v>
      </c>
      <c r="H8" s="34" t="str">
        <f t="shared" ref="H8:H24" si="1">+IF(D8=ISBLANK(TRUE)," ",CONCATENATE(G8&amp;"."&amp;F8))</f>
        <v xml:space="preserve"> </v>
      </c>
      <c r="I8" s="34" t="str">
        <f>IF(D8=ISBLANK(TRUE)," ",COUNTIF($H$8:H8,H8))</f>
        <v xml:space="preserve"> </v>
      </c>
      <c r="J8" s="50"/>
      <c r="K8" s="29" t="str">
        <f>IFERROR(IF(Inicio!$E8=" "," ",IF((COUNTIFS(Acciones!$B$3:$B$1005,"="&amp;Inicio!$E8,Acciones!$K$3:$K$1005,"=Cerrado")+COUNTIFS(Acciones!$B$3:$B$1005,"="&amp;Inicio!$E8,Acciones!$K$3:$K$1005,"=Cerrado con retraso"))/(COUNTIFS(Acciones!$B$3:$B$1005,"="&amp;Inicio!$E8,Acciones!$K$3:$K$1005,"&lt;&gt;"))=1,"Cerrado",IF(COUNTIFS(Acciones!$B$3:$B$1005,"="&amp;Inicio!$E8,Acciones!$K$3:$K$1005,"Retrasado"),"Retrasado","Abierto"))),"Faltan acciones")</f>
        <v xml:space="preserve"> </v>
      </c>
    </row>
    <row r="9" spans="1:14" x14ac:dyDescent="0.3">
      <c r="C9" s="51"/>
      <c r="D9" s="51"/>
      <c r="E9" s="35" t="str">
        <f t="shared" si="0"/>
        <v xml:space="preserve"> </v>
      </c>
      <c r="F9" s="35" t="str">
        <f>+IFERROR(VLOOKUP(D9,Listas!$A$2:$B$20,2,FALSE)," ")</f>
        <v xml:space="preserve"> </v>
      </c>
      <c r="G9" s="35" t="str">
        <f>IFERROR(VLOOKUP(C9,Listas!$D$2:$E$15,2,FALSE)," ")</f>
        <v xml:space="preserve"> </v>
      </c>
      <c r="H9" s="35" t="str">
        <f t="shared" si="1"/>
        <v xml:space="preserve"> </v>
      </c>
      <c r="I9" s="35" t="str">
        <f>IF(D9=ISBLANK(TRUE)," ",COUNTIF($H$8:H9,H9))</f>
        <v xml:space="preserve"> </v>
      </c>
      <c r="J9" s="51"/>
      <c r="K9" s="36" t="str">
        <f>IFERROR(IF(Inicio!$E9=" "," ",IF((COUNTIFS(Acciones!$B$3:$B$1005,"="&amp;Inicio!$E9,Acciones!$K$3:$K$1005,"=Cerrado")+COUNTIFS(Acciones!$B$3:$B$1005,"="&amp;Inicio!$E9,Acciones!$K$3:$K$1005,"=Cerrado con retraso"))/(COUNTIFS(Acciones!$B$3:$B$1005,"="&amp;Inicio!$E9,Acciones!$K$3:$K$1005,"&lt;&gt;"))=1,"Cerrado",IF(COUNTIFS(Acciones!$B$3:$B$1005,"="&amp;Inicio!$E9,Acciones!$K$3:$K$1005,"Retrasado"),"Retrasado","Abierto"))),"Faltan acciones")</f>
        <v xml:space="preserve"> </v>
      </c>
    </row>
    <row r="10" spans="1:14" x14ac:dyDescent="0.3">
      <c r="C10" s="50"/>
      <c r="D10" s="50"/>
      <c r="E10" s="34" t="str">
        <f t="shared" si="0"/>
        <v xml:space="preserve"> </v>
      </c>
      <c r="F10" s="34" t="str">
        <f>+IFERROR(VLOOKUP(D10,Listas!$A$2:$B$20,2,FALSE)," ")</f>
        <v xml:space="preserve"> </v>
      </c>
      <c r="G10" s="34" t="str">
        <f>IFERROR(VLOOKUP(C10,Listas!$D$2:$E$15,2,FALSE)," ")</f>
        <v xml:space="preserve"> </v>
      </c>
      <c r="H10" s="34" t="str">
        <f t="shared" si="1"/>
        <v xml:space="preserve"> </v>
      </c>
      <c r="I10" s="34" t="str">
        <f>IF(D10=ISBLANK(TRUE)," ",COUNTIF($H$8:H10,H10))</f>
        <v xml:space="preserve"> </v>
      </c>
      <c r="J10" s="50"/>
      <c r="K10" s="29" t="str">
        <f>IFERROR(IF(Inicio!$E10=" "," ",IF((COUNTIFS(Acciones!$B$3:$B$1005,"="&amp;Inicio!$E10,Acciones!$K$3:$K$1005,"=Cerrado")+COUNTIFS(Acciones!$B$3:$B$1005,"="&amp;Inicio!$E10,Acciones!$K$3:$K$1005,"=Cerrado con retraso"))/(COUNTIFS(Acciones!$B$3:$B$1005,"="&amp;Inicio!$E10,Acciones!$K$3:$K$1005,"&lt;&gt;"))=1,"Cerrado",IF(COUNTIFS(Acciones!$B$3:$B$1005,"="&amp;Inicio!$E10,Acciones!$K$3:$K$1005,"Retrasado"),"Retrasado","Abierto"))),"Faltan acciones")</f>
        <v xml:space="preserve"> </v>
      </c>
    </row>
    <row r="11" spans="1:14" x14ac:dyDescent="0.3">
      <c r="C11" s="51"/>
      <c r="D11" s="51"/>
      <c r="E11" s="35" t="str">
        <f t="shared" si="0"/>
        <v xml:space="preserve"> </v>
      </c>
      <c r="F11" s="35" t="str">
        <f>+IFERROR(VLOOKUP(D11,Listas!$A$2:$B$20,2,FALSE)," ")</f>
        <v xml:space="preserve"> </v>
      </c>
      <c r="G11" s="35" t="str">
        <f>IFERROR(VLOOKUP(C11,Listas!$D$2:$E$15,2,FALSE)," ")</f>
        <v xml:space="preserve"> </v>
      </c>
      <c r="H11" s="35" t="str">
        <f t="shared" si="1"/>
        <v xml:space="preserve"> </v>
      </c>
      <c r="I11" s="35" t="str">
        <f>IF(D11=ISBLANK(TRUE)," ",COUNTIF($H$8:H11,H11))</f>
        <v xml:space="preserve"> </v>
      </c>
      <c r="J11" s="51"/>
      <c r="K11" s="36" t="str">
        <f>IFERROR(IF(Inicio!$E11=" "," ",IF((COUNTIFS(Acciones!$B$3:$B$1005,"="&amp;Inicio!$E11,Acciones!$K$3:$K$1005,"=Cerrado")+COUNTIFS(Acciones!$B$3:$B$1005,"="&amp;Inicio!$E11,Acciones!$K$3:$K$1005,"=Cerrado con retraso"))/(COUNTIFS(Acciones!$B$3:$B$1005,"="&amp;Inicio!$E11,Acciones!$K$3:$K$1005,"&lt;&gt;"))=1,"Cerrado",IF(COUNTIFS(Acciones!$B$3:$B$1005,"="&amp;Inicio!$E11,Acciones!$K$3:$K$1005,"Retrasado"),"Retrasado","Abierto"))),"Faltan acciones")</f>
        <v xml:space="preserve"> </v>
      </c>
    </row>
    <row r="12" spans="1:14" x14ac:dyDescent="0.3">
      <c r="C12" s="50"/>
      <c r="D12" s="50"/>
      <c r="E12" s="34" t="str">
        <f t="shared" si="0"/>
        <v xml:space="preserve"> </v>
      </c>
      <c r="F12" s="34" t="str">
        <f>+IFERROR(VLOOKUP(D12,Listas!$A$2:$B$20,2,FALSE)," ")</f>
        <v xml:space="preserve"> </v>
      </c>
      <c r="G12" s="34" t="str">
        <f>IFERROR(VLOOKUP(C12,Listas!$D$2:$E$15,2,FALSE)," ")</f>
        <v xml:space="preserve"> </v>
      </c>
      <c r="H12" s="34" t="str">
        <f t="shared" si="1"/>
        <v xml:space="preserve"> </v>
      </c>
      <c r="I12" s="34" t="str">
        <f>IF(D12=ISBLANK(TRUE)," ",COUNTIF($H$8:H12,H12))</f>
        <v xml:space="preserve"> </v>
      </c>
      <c r="J12" s="50"/>
      <c r="K12" s="29" t="str">
        <f>IFERROR(IF(Inicio!$E12=" "," ",IF((COUNTIFS(Acciones!$B$3:$B$1005,"="&amp;Inicio!$E12,Acciones!$K$3:$K$1005,"=Cerrado")+COUNTIFS(Acciones!$B$3:$B$1005,"="&amp;Inicio!$E12,Acciones!$K$3:$K$1005,"=Cerrado con retraso"))/(COUNTIFS(Acciones!$B$3:$B$1005,"="&amp;Inicio!$E12,Acciones!$K$3:$K$1005,"&lt;&gt;"))=1,"Cerrado",IF(COUNTIFS(Acciones!$B$3:$B$1005,"="&amp;Inicio!$E12,Acciones!$K$3:$K$1005,"Retrasado"),"Retrasado","Abierto"))),"Faltan acciones")</f>
        <v xml:space="preserve"> </v>
      </c>
    </row>
    <row r="13" spans="1:14" x14ac:dyDescent="0.3">
      <c r="C13" s="51"/>
      <c r="D13" s="51"/>
      <c r="E13" s="35" t="str">
        <f t="shared" si="0"/>
        <v xml:space="preserve"> </v>
      </c>
      <c r="F13" s="35" t="str">
        <f>+IFERROR(VLOOKUP(D13,Listas!$A$2:$B$20,2,FALSE)," ")</f>
        <v xml:space="preserve"> </v>
      </c>
      <c r="G13" s="35" t="str">
        <f>IFERROR(VLOOKUP(C13,Listas!$D$2:$E$15,2,FALSE)," ")</f>
        <v xml:space="preserve"> </v>
      </c>
      <c r="H13" s="35" t="str">
        <f t="shared" si="1"/>
        <v xml:space="preserve"> </v>
      </c>
      <c r="I13" s="35" t="str">
        <f>IF(D13=ISBLANK(TRUE)," ",COUNTIF($H$8:H46,H13))</f>
        <v xml:space="preserve"> </v>
      </c>
      <c r="J13" s="51"/>
      <c r="K13" s="36" t="str">
        <f>IFERROR(IF(Inicio!$E13=" "," ",IF((COUNTIFS(Acciones!$B$3:$B$1005,"="&amp;Inicio!$E13,Acciones!$K$3:$K$1005,"=Cerrado")+COUNTIFS(Acciones!$B$3:$B$1005,"="&amp;Inicio!$E13,Acciones!$K$3:$K$1005,"=Cerrado con retraso"))/(COUNTIFS(Acciones!$B$3:$B$1005,"="&amp;Inicio!$E13,Acciones!$K$3:$K$1005,"&lt;&gt;"))=1,"Cerrado",IF(COUNTIFS(Acciones!$B$3:$B$1005,"="&amp;Inicio!$E13,Acciones!$K$3:$K$1005,"Retrasado"),"Retrasado","Abierto"))),"Faltan acciones")</f>
        <v xml:space="preserve"> </v>
      </c>
    </row>
    <row r="14" spans="1:14" x14ac:dyDescent="0.3">
      <c r="C14" s="50"/>
      <c r="D14" s="50"/>
      <c r="E14" s="34" t="str">
        <f t="shared" si="0"/>
        <v xml:space="preserve"> </v>
      </c>
      <c r="F14" s="34" t="str">
        <f>+IFERROR(VLOOKUP(D14,Listas!$A$2:$B$20,2,FALSE)," ")</f>
        <v xml:space="preserve"> </v>
      </c>
      <c r="G14" s="34" t="str">
        <f>IFERROR(VLOOKUP(C14,Listas!$D$2:$E$15,2,FALSE)," ")</f>
        <v xml:space="preserve"> </v>
      </c>
      <c r="H14" s="34" t="str">
        <f t="shared" si="1"/>
        <v xml:space="preserve"> </v>
      </c>
      <c r="I14" s="34" t="str">
        <f>IF(D14=ISBLANK(TRUE)," ",COUNTIF($H$8:H14,H14))</f>
        <v xml:space="preserve"> </v>
      </c>
      <c r="J14" s="50"/>
      <c r="K14" s="29" t="str">
        <f>IFERROR(IF(Inicio!$E14=" "," ",IF((COUNTIFS(Acciones!$B$3:$B$1005,"="&amp;Inicio!$E14,Acciones!$K$3:$K$1005,"=Cerrado")+COUNTIFS(Acciones!$B$3:$B$1005,"="&amp;Inicio!$E14,Acciones!$K$3:$K$1005,"=Cerrado con retraso"))/(COUNTIFS(Acciones!$B$3:$B$1005,"="&amp;Inicio!$E14,Acciones!$K$3:$K$1005,"&lt;&gt;"))=1,"Cerrado",IF(COUNTIFS(Acciones!$B$3:$B$1005,"="&amp;Inicio!$E14,Acciones!$K$3:$K$1005,"Retrasado"),"Retrasado","Abierto"))),"Faltan acciones")</f>
        <v xml:space="preserve"> </v>
      </c>
    </row>
    <row r="15" spans="1:14" x14ac:dyDescent="0.3">
      <c r="C15" s="51"/>
      <c r="D15" s="51"/>
      <c r="E15" s="35" t="str">
        <f t="shared" si="0"/>
        <v xml:space="preserve"> </v>
      </c>
      <c r="F15" s="35" t="str">
        <f>+IFERROR(VLOOKUP(D15,Listas!$A$2:$B$20,2,FALSE)," ")</f>
        <v xml:space="preserve"> </v>
      </c>
      <c r="G15" s="35" t="str">
        <f>IFERROR(VLOOKUP(C15,Listas!$D$2:$E$15,2,FALSE)," ")</f>
        <v xml:space="preserve"> </v>
      </c>
      <c r="H15" s="35" t="str">
        <f t="shared" si="1"/>
        <v xml:space="preserve"> </v>
      </c>
      <c r="I15" s="35" t="str">
        <f>IF(D15=ISBLANK(TRUE)," ",COUNTIF($H$8:H15,H15))</f>
        <v xml:space="preserve"> </v>
      </c>
      <c r="J15" s="51"/>
      <c r="K15" s="36" t="str">
        <f>IFERROR(IF(Inicio!$E15=" "," ",IF((COUNTIFS(Acciones!$B$3:$B$1005,"="&amp;Inicio!$E15,Acciones!$K$3:$K$1005,"=Cerrado")+COUNTIFS(Acciones!$B$3:$B$1005,"="&amp;Inicio!$E15,Acciones!$K$3:$K$1005,"=Cerrado con retraso"))/(COUNTIFS(Acciones!$B$3:$B$1005,"="&amp;Inicio!$E15,Acciones!$K$3:$K$1005,"&lt;&gt;"))=1,"Cerrado",IF(COUNTIFS(Acciones!$B$3:$B$1005,"="&amp;Inicio!$E15,Acciones!$K$3:$K$1005,"Retrasado"),"Retrasado","Abierto"))),"Faltan acciones")</f>
        <v xml:space="preserve"> </v>
      </c>
    </row>
    <row r="16" spans="1:14" x14ac:dyDescent="0.3">
      <c r="C16" s="50"/>
      <c r="D16" s="50"/>
      <c r="E16" s="34" t="str">
        <f t="shared" si="0"/>
        <v xml:space="preserve"> </v>
      </c>
      <c r="F16" s="34" t="str">
        <f>+IFERROR(VLOOKUP(D16,Listas!$A$2:$B$20,2,FALSE)," ")</f>
        <v xml:space="preserve"> </v>
      </c>
      <c r="G16" s="34" t="str">
        <f>IFERROR(VLOOKUP(C16,Listas!$D$2:$E$15,2,FALSE)," ")</f>
        <v xml:space="preserve"> </v>
      </c>
      <c r="H16" s="34" t="str">
        <f t="shared" si="1"/>
        <v xml:space="preserve"> </v>
      </c>
      <c r="I16" s="34" t="str">
        <f>IF(D16=ISBLANK(TRUE)," ",COUNTIF($H$8:H16,H16))</f>
        <v xml:space="preserve"> </v>
      </c>
      <c r="J16" s="50"/>
      <c r="K16" s="29" t="str">
        <f>IFERROR(IF(Inicio!$E16=" "," ",IF((COUNTIFS(Acciones!$B$3:$B$1005,"="&amp;Inicio!$E16,Acciones!$K$3:$K$1005,"=Cerrado")+COUNTIFS(Acciones!$B$3:$B$1005,"="&amp;Inicio!$E16,Acciones!$K$3:$K$1005,"=Cerrado con retraso"))/(COUNTIFS(Acciones!$B$3:$B$1005,"="&amp;Inicio!$E16,Acciones!$K$3:$K$1005,"&lt;&gt;"))=1,"Cerrado",IF(COUNTIFS(Acciones!$B$3:$B$1005,"="&amp;Inicio!$E16,Acciones!$K$3:$K$1005,"Retrasado"),"Retrasado","Abierto"))),"Faltan acciones")</f>
        <v xml:space="preserve"> </v>
      </c>
    </row>
    <row r="17" spans="3:11" x14ac:dyDescent="0.3">
      <c r="C17" s="51"/>
      <c r="D17" s="51"/>
      <c r="E17" s="35" t="str">
        <f t="shared" si="0"/>
        <v xml:space="preserve"> </v>
      </c>
      <c r="F17" s="35" t="str">
        <f>+IFERROR(VLOOKUP(D17,Listas!$A$2:$B$20,2,FALSE)," ")</f>
        <v xml:space="preserve"> </v>
      </c>
      <c r="G17" s="35" t="str">
        <f>IFERROR(VLOOKUP(C17,Listas!$D$2:$E$15,2,FALSE)," ")</f>
        <v xml:space="preserve"> </v>
      </c>
      <c r="H17" s="35" t="str">
        <f t="shared" si="1"/>
        <v xml:space="preserve"> </v>
      </c>
      <c r="I17" s="35" t="str">
        <f>IF(D17=ISBLANK(TRUE)," ",COUNTIF($H$8:H17,H17))</f>
        <v xml:space="preserve"> </v>
      </c>
      <c r="J17" s="51"/>
      <c r="K17" s="36" t="str">
        <f>IFERROR(IF(Inicio!$E17=" "," ",IF((COUNTIFS(Acciones!$B$3:$B$1005,"="&amp;Inicio!$E17,Acciones!$K$3:$K$1005,"=Cerrado")+COUNTIFS(Acciones!$B$3:$B$1005,"="&amp;Inicio!$E17,Acciones!$K$3:$K$1005,"=Cerrado con retraso"))/(COUNTIFS(Acciones!$B$3:$B$1005,"="&amp;Inicio!$E17,Acciones!$K$3:$K$1005,"&lt;&gt;"))=1,"Cerrado",IF(COUNTIFS(Acciones!$B$3:$B$1005,"="&amp;Inicio!$E17,Acciones!$K$3:$K$1005,"Retrasado"),"Retrasado","Abierto"))),"Faltan acciones")</f>
        <v xml:space="preserve"> </v>
      </c>
    </row>
    <row r="18" spans="3:11" x14ac:dyDescent="0.3">
      <c r="C18" s="50"/>
      <c r="D18" s="50"/>
      <c r="E18" s="34" t="str">
        <f t="shared" si="0"/>
        <v xml:space="preserve"> </v>
      </c>
      <c r="F18" s="34" t="str">
        <f>+IFERROR(VLOOKUP(D18,Listas!$A$2:$B$20,2,FALSE)," ")</f>
        <v xml:space="preserve"> </v>
      </c>
      <c r="G18" s="34" t="str">
        <f>IFERROR(VLOOKUP(C18,Listas!$D$2:$E$15,2,FALSE)," ")</f>
        <v xml:space="preserve"> </v>
      </c>
      <c r="H18" s="34" t="str">
        <f t="shared" si="1"/>
        <v xml:space="preserve"> </v>
      </c>
      <c r="I18" s="34" t="str">
        <f>IF(D18=ISBLANK(TRUE)," ",COUNTIF($H$8:H18,H18))</f>
        <v xml:space="preserve"> </v>
      </c>
      <c r="J18" s="50"/>
      <c r="K18" s="29" t="str">
        <f>IFERROR(IF(Inicio!$E18=" "," ",IF((COUNTIFS(Acciones!$B$3:$B$1005,"="&amp;Inicio!$E18,Acciones!$K$3:$K$1005,"=Cerrado")+COUNTIFS(Acciones!$B$3:$B$1005,"="&amp;Inicio!$E18,Acciones!$K$3:$K$1005,"=Cerrado con retraso"))/(COUNTIFS(Acciones!$B$3:$B$1005,"="&amp;Inicio!$E18,Acciones!$K$3:$K$1005,"&lt;&gt;"))=1,"Cerrado",IF(COUNTIFS(Acciones!$B$3:$B$1005,"="&amp;Inicio!$E18,Acciones!$K$3:$K$1005,"Retrasado"),"Retrasado","Abierto"))),"Faltan acciones")</f>
        <v xml:space="preserve"> </v>
      </c>
    </row>
    <row r="19" spans="3:11" x14ac:dyDescent="0.3">
      <c r="C19" s="51"/>
      <c r="D19" s="51"/>
      <c r="E19" s="35" t="str">
        <f t="shared" si="0"/>
        <v xml:space="preserve"> </v>
      </c>
      <c r="F19" s="35" t="str">
        <f>+IFERROR(VLOOKUP(D19,Listas!$A$2:$B$20,2,FALSE)," ")</f>
        <v xml:space="preserve"> </v>
      </c>
      <c r="G19" s="35" t="str">
        <f>IFERROR(VLOOKUP(C19,Listas!$D$2:$E$15,2,FALSE)," ")</f>
        <v xml:space="preserve"> </v>
      </c>
      <c r="H19" s="35" t="str">
        <f t="shared" si="1"/>
        <v xml:space="preserve"> </v>
      </c>
      <c r="I19" s="35" t="str">
        <f>IF(D19=ISBLANK(TRUE)," ",COUNTIF($H$8:H19,H19))</f>
        <v xml:space="preserve"> </v>
      </c>
      <c r="J19" s="51"/>
      <c r="K19" s="36" t="str">
        <f>IFERROR(IF(Inicio!$E19=" "," ",IF((COUNTIFS(Acciones!$B$3:$B$1005,"="&amp;Inicio!$E19,Acciones!$K$3:$K$1005,"=Cerrado")+COUNTIFS(Acciones!$B$3:$B$1005,"="&amp;Inicio!$E19,Acciones!$K$3:$K$1005,"=Cerrado con retraso"))/(COUNTIFS(Acciones!$B$3:$B$1005,"="&amp;Inicio!$E19,Acciones!$K$3:$K$1005,"&lt;&gt;"))=1,"Cerrado",IF(COUNTIFS(Acciones!$B$3:$B$1005,"="&amp;Inicio!$E19,Acciones!$K$3:$K$1005,"Retrasado"),"Retrasado","Abierto"))),"Faltan acciones")</f>
        <v xml:space="preserve"> </v>
      </c>
    </row>
    <row r="20" spans="3:11" x14ac:dyDescent="0.3">
      <c r="C20" s="50"/>
      <c r="D20" s="50"/>
      <c r="E20" s="34" t="str">
        <f t="shared" si="0"/>
        <v xml:space="preserve"> </v>
      </c>
      <c r="F20" s="34" t="str">
        <f>+IFERROR(VLOOKUP(D20,Listas!$A$2:$B$20,2,FALSE)," ")</f>
        <v xml:space="preserve"> </v>
      </c>
      <c r="G20" s="34" t="str">
        <f>IFERROR(VLOOKUP(C20,Listas!$D$2:$E$15,2,FALSE)," ")</f>
        <v xml:space="preserve"> </v>
      </c>
      <c r="H20" s="34" t="str">
        <f t="shared" si="1"/>
        <v xml:space="preserve"> </v>
      </c>
      <c r="I20" s="34" t="str">
        <f>IF(D20=ISBLANK(TRUE)," ",COUNTIF($H$8:H20,H20))</f>
        <v xml:space="preserve"> </v>
      </c>
      <c r="J20" s="50"/>
      <c r="K20" s="29" t="str">
        <f>IFERROR(IF(Inicio!$E20=" "," ",IF((COUNTIFS(Acciones!$B$3:$B$1005,"="&amp;Inicio!$E20,Acciones!$K$3:$K$1005,"=Cerrado")+COUNTIFS(Acciones!$B$3:$B$1005,"="&amp;Inicio!$E20,Acciones!$K$3:$K$1005,"=Cerrado con retraso"))/(COUNTIFS(Acciones!$B$3:$B$1005,"="&amp;Inicio!$E20,Acciones!$K$3:$K$1005,"&lt;&gt;"))=1,"Cerrado",IF(COUNTIFS(Acciones!$B$3:$B$1005,"="&amp;Inicio!$E20,Acciones!$K$3:$K$1005,"Retrasado"),"Retrasado","Abierto"))),"Faltan acciones")</f>
        <v xml:space="preserve"> </v>
      </c>
    </row>
    <row r="21" spans="3:11" x14ac:dyDescent="0.3">
      <c r="C21" s="51"/>
      <c r="D21" s="51"/>
      <c r="E21" s="35" t="str">
        <f t="shared" si="0"/>
        <v xml:space="preserve"> </v>
      </c>
      <c r="F21" s="35" t="str">
        <f>+IFERROR(VLOOKUP(D21,Listas!$A$2:$B$20,2,FALSE)," ")</f>
        <v xml:space="preserve"> </v>
      </c>
      <c r="G21" s="35" t="str">
        <f>IFERROR(VLOOKUP(C21,Listas!$D$2:$E$15,2,FALSE)," ")</f>
        <v xml:space="preserve"> </v>
      </c>
      <c r="H21" s="35" t="str">
        <f t="shared" si="1"/>
        <v xml:space="preserve"> </v>
      </c>
      <c r="I21" s="35" t="str">
        <f>IF(D21=ISBLANK(TRUE)," ",COUNTIF($H$8:H21,H21))</f>
        <v xml:space="preserve"> </v>
      </c>
      <c r="J21" s="51"/>
      <c r="K21" s="36" t="str">
        <f>IFERROR(IF(Inicio!$E21=" "," ",IF((COUNTIFS(Acciones!$B$3:$B$1005,"="&amp;Inicio!$E21,Acciones!$K$3:$K$1005,"=Cerrado")+COUNTIFS(Acciones!$B$3:$B$1005,"="&amp;Inicio!$E21,Acciones!$K$3:$K$1005,"=Cerrado con retraso"))/(COUNTIFS(Acciones!$B$3:$B$1005,"="&amp;Inicio!$E21,Acciones!$K$3:$K$1005,"&lt;&gt;"))=1,"Cerrado",IF(COUNTIFS(Acciones!$B$3:$B$1005,"="&amp;Inicio!$E21,Acciones!$K$3:$K$1005,"Retrasado"),"Retrasado","Abierto"))),"Faltan acciones")</f>
        <v xml:space="preserve"> </v>
      </c>
    </row>
    <row r="22" spans="3:11" x14ac:dyDescent="0.3">
      <c r="C22" s="50"/>
      <c r="D22" s="50"/>
      <c r="E22" s="34" t="str">
        <f t="shared" si="0"/>
        <v xml:space="preserve"> </v>
      </c>
      <c r="F22" s="34" t="str">
        <f>+IFERROR(VLOOKUP(D22,Listas!$A$2:$B$20,2,FALSE)," ")</f>
        <v xml:space="preserve"> </v>
      </c>
      <c r="G22" s="34" t="str">
        <f>IFERROR(VLOOKUP(C22,Listas!$D$2:$E$15,2,FALSE)," ")</f>
        <v xml:space="preserve"> </v>
      </c>
      <c r="H22" s="34" t="str">
        <f t="shared" si="1"/>
        <v xml:space="preserve"> </v>
      </c>
      <c r="I22" s="34" t="str">
        <f>IF(D22=ISBLANK(TRUE)," ",COUNTIF($H$8:H22,H22))</f>
        <v xml:space="preserve"> </v>
      </c>
      <c r="J22" s="50"/>
      <c r="K22" s="29" t="str">
        <f>IFERROR(IF(Inicio!$E22=" "," ",IF((COUNTIFS(Acciones!$B$3:$B$1005,"="&amp;Inicio!$E22,Acciones!$K$3:$K$1005,"=Cerrado")+COUNTIFS(Acciones!$B$3:$B$1005,"="&amp;Inicio!$E22,Acciones!$K$3:$K$1005,"=Cerrado con retraso"))/(COUNTIFS(Acciones!$B$3:$B$1005,"="&amp;Inicio!$E22,Acciones!$K$3:$K$1005,"&lt;&gt;"))=1,"Cerrado",IF(COUNTIFS(Acciones!$B$3:$B$1005,"="&amp;Inicio!$E22,Acciones!$K$3:$K$1005,"Retrasado"),"Retrasado","Abierto"))),"Faltan acciones")</f>
        <v xml:space="preserve"> </v>
      </c>
    </row>
    <row r="23" spans="3:11" x14ac:dyDescent="0.3">
      <c r="C23" s="51"/>
      <c r="D23" s="51"/>
      <c r="E23" s="35" t="str">
        <f t="shared" si="0"/>
        <v xml:space="preserve"> </v>
      </c>
      <c r="F23" s="35" t="str">
        <f>+IFERROR(VLOOKUP(D23,Listas!$A$2:$B$20,2,FALSE)," ")</f>
        <v xml:space="preserve"> </v>
      </c>
      <c r="G23" s="35" t="str">
        <f>IFERROR(VLOOKUP(C23,Listas!$D$2:$E$15,2,FALSE)," ")</f>
        <v xml:space="preserve"> </v>
      </c>
      <c r="H23" s="35" t="str">
        <f t="shared" si="1"/>
        <v xml:space="preserve"> </v>
      </c>
      <c r="I23" s="35" t="str">
        <f>IF(D23=ISBLANK(TRUE)," ",COUNTIF($H$8:H23,H23))</f>
        <v xml:space="preserve"> </v>
      </c>
      <c r="J23" s="51"/>
      <c r="K23" s="36" t="str">
        <f>IFERROR(IF(Inicio!$E23=" "," ",IF((COUNTIFS(Acciones!$B$3:$B$1005,"="&amp;Inicio!$E23,Acciones!$K$3:$K$1005,"=Cerrado")+COUNTIFS(Acciones!$B$3:$B$1005,"="&amp;Inicio!$E23,Acciones!$K$3:$K$1005,"=Cerrado con retraso"))/(COUNTIFS(Acciones!$B$3:$B$1005,"="&amp;Inicio!$E23,Acciones!$K$3:$K$1005,"&lt;&gt;"))=1,"Cerrado",IF(COUNTIFS(Acciones!$B$3:$B$1005,"="&amp;Inicio!$E23,Acciones!$K$3:$K$1005,"Retrasado"),"Retrasado","Abierto"))),"Faltan acciones")</f>
        <v xml:space="preserve"> </v>
      </c>
    </row>
    <row r="24" spans="3:11" x14ac:dyDescent="0.3">
      <c r="C24" s="50"/>
      <c r="D24" s="50"/>
      <c r="E24" s="34" t="str">
        <f t="shared" si="0"/>
        <v xml:space="preserve"> </v>
      </c>
      <c r="F24" s="34" t="str">
        <f>+IFERROR(VLOOKUP(D24,Listas!$A$2:$B$20,2,FALSE)," ")</f>
        <v xml:space="preserve"> </v>
      </c>
      <c r="G24" s="34" t="str">
        <f>IFERROR(VLOOKUP(C24,Listas!$D$2:$E$15,2,FALSE)," ")</f>
        <v xml:space="preserve"> </v>
      </c>
      <c r="H24" s="34" t="str">
        <f t="shared" si="1"/>
        <v xml:space="preserve"> </v>
      </c>
      <c r="I24" s="34" t="str">
        <f>IF(D24=ISBLANK(TRUE)," ",COUNTIF($H$8:H46,H24))</f>
        <v xml:space="preserve"> </v>
      </c>
      <c r="J24" s="50"/>
      <c r="K24" s="29" t="str">
        <f>IFERROR(IF(Inicio!$E24=" "," ",IF((COUNTIFS(Acciones!$B$3:$B$1005,"="&amp;Inicio!$E24,Acciones!$K$3:$K$1005,"=Cerrado")+COUNTIFS(Acciones!$B$3:$B$1005,"="&amp;Inicio!$E24,Acciones!$K$3:$K$1005,"=Cerrado con retraso"))/(COUNTIFS(Acciones!$B$3:$B$1005,"="&amp;Inicio!$E24,Acciones!$K$3:$K$1005,"&lt;&gt;"))=1,"Cerrado",IF(COUNTIFS(Acciones!$B$3:$B$1005,"="&amp;Inicio!$E24,Acciones!$K$3:$K$1005,"Retrasado"),"Retrasado","Abierto"))),"Faltan acciones")</f>
        <v xml:space="preserve"> </v>
      </c>
    </row>
    <row r="25" spans="3:11" x14ac:dyDescent="0.3">
      <c r="C25" s="51"/>
      <c r="D25" s="51"/>
      <c r="E25" s="35" t="str">
        <f t="shared" ref="E25:E46" si="2">IF(D25=ISBLANK(TRUE)," ",I25&amp;"."&amp;H25)</f>
        <v xml:space="preserve"> </v>
      </c>
      <c r="F25" s="35" t="str">
        <f>+IFERROR(VLOOKUP(D25,Listas!$A$2:$B$20,2,FALSE)," ")</f>
        <v xml:space="preserve"> </v>
      </c>
      <c r="G25" s="35" t="str">
        <f>IFERROR(VLOOKUP(C25,Listas!$D$2:$E$15,2,FALSE)," ")</f>
        <v xml:space="preserve"> </v>
      </c>
      <c r="H25" s="37" t="str">
        <f t="shared" ref="H25:H46" si="3">+IF(D25=ISBLANK(TRUE)," ",CONCATENATE(G25&amp;"."&amp;F25))</f>
        <v xml:space="preserve"> </v>
      </c>
      <c r="I25" s="35" t="str">
        <f>IF(D25=ISBLANK(TRUE)," ",COUNTIF($H$8:H25,H25))</f>
        <v xml:space="preserve"> </v>
      </c>
      <c r="J25" s="51"/>
      <c r="K25" s="38" t="str">
        <f>IFERROR(IF(Inicio!$E25=" "," ",IF((COUNTIFS(Acciones!$B$3:$B$1005,"="&amp;Inicio!$E25,Acciones!$K$3:$K$1005,"=Cerrado")+COUNTIFS(Acciones!$B$3:$B$1005,"="&amp;Inicio!$E25,Acciones!$K$3:$K$1005,"=Cerrado con retraso"))/(COUNTIFS(Acciones!$B$3:$B$1005,"="&amp;Inicio!$E25,Acciones!$K$3:$K$1005,"&lt;&gt;"))=1,"Cerrado",IF(COUNTIFS(Acciones!$B$3:$B$1005,"="&amp;Inicio!$E25,Acciones!$K$3:$K$1005,"Retrasado"),"Retrasado","Abierto"))),"Faltan acciones")</f>
        <v xml:space="preserve"> </v>
      </c>
    </row>
    <row r="26" spans="3:11" x14ac:dyDescent="0.3">
      <c r="C26" s="50"/>
      <c r="D26" s="50"/>
      <c r="E26" s="34" t="str">
        <f t="shared" si="2"/>
        <v xml:space="preserve"> </v>
      </c>
      <c r="F26" s="34" t="str">
        <f>+IFERROR(VLOOKUP(D26,Listas!$A$2:$B$20,2,FALSE)," ")</f>
        <v xml:space="preserve"> </v>
      </c>
      <c r="G26" s="34" t="str">
        <f>IFERROR(VLOOKUP(C26,Listas!$D$2:$E$15,2,FALSE)," ")</f>
        <v xml:space="preserve"> </v>
      </c>
      <c r="H26" s="39" t="str">
        <f t="shared" si="3"/>
        <v xml:space="preserve"> </v>
      </c>
      <c r="I26" s="34" t="str">
        <f>IF(D26=ISBLANK(TRUE)," ",COUNTIF($H$8:H26,H26))</f>
        <v xml:space="preserve"> </v>
      </c>
      <c r="J26" s="50"/>
      <c r="K26" s="40" t="str">
        <f>IFERROR(IF(Inicio!$E26=" "," ",IF((COUNTIFS(Acciones!$B$3:$B$1005,"="&amp;Inicio!$E26,Acciones!$K$3:$K$1005,"=Cerrado")+COUNTIFS(Acciones!$B$3:$B$1005,"="&amp;Inicio!$E26,Acciones!$K$3:$K$1005,"=Cerrado con retraso"))/(COUNTIFS(Acciones!$B$3:$B$1005,"="&amp;Inicio!$E26,Acciones!$K$3:$K$1005,"&lt;&gt;"))=1,"Cerrado",IF(COUNTIFS(Acciones!$B$3:$B$1005,"="&amp;Inicio!$E26,Acciones!$K$3:$K$1005,"Retrasado"),"Retrasado","Abierto"))),"Faltan acciones")</f>
        <v xml:space="preserve"> </v>
      </c>
    </row>
    <row r="27" spans="3:11" x14ac:dyDescent="0.3">
      <c r="C27" s="51"/>
      <c r="D27" s="51"/>
      <c r="E27" s="35" t="str">
        <f t="shared" si="2"/>
        <v xml:space="preserve"> </v>
      </c>
      <c r="F27" s="35" t="str">
        <f>+IFERROR(VLOOKUP(D27,Listas!$A$2:$B$20,2,FALSE)," ")</f>
        <v xml:space="preserve"> </v>
      </c>
      <c r="G27" s="35" t="str">
        <f>IFERROR(VLOOKUP(C27,Listas!$D$2:$E$15,2,FALSE)," ")</f>
        <v xml:space="preserve"> </v>
      </c>
      <c r="H27" s="37" t="str">
        <f t="shared" si="3"/>
        <v xml:space="preserve"> </v>
      </c>
      <c r="I27" s="35" t="str">
        <f>IF(D27=ISBLANK(TRUE)," ",COUNTIF($H$8:H27,H27))</f>
        <v xml:space="preserve"> </v>
      </c>
      <c r="J27" s="51"/>
      <c r="K27" s="38" t="str">
        <f>IFERROR(IF(Inicio!$E27=" "," ",IF((COUNTIFS(Acciones!$B$3:$B$1005,"="&amp;Inicio!$E27,Acciones!$K$3:$K$1005,"=Cerrado")+COUNTIFS(Acciones!$B$3:$B$1005,"="&amp;Inicio!$E27,Acciones!$K$3:$K$1005,"=Cerrado con retraso"))/(COUNTIFS(Acciones!$B$3:$B$1005,"="&amp;Inicio!$E27,Acciones!$K$3:$K$1005,"&lt;&gt;"))=1,"Cerrado",IF(COUNTIFS(Acciones!$B$3:$B$1005,"="&amp;Inicio!$E27,Acciones!$K$3:$K$1005,"Retrasado"),"Retrasado","Abierto"))),"Faltan acciones")</f>
        <v xml:space="preserve"> </v>
      </c>
    </row>
    <row r="28" spans="3:11" x14ac:dyDescent="0.3">
      <c r="C28" s="50"/>
      <c r="D28" s="50"/>
      <c r="E28" s="34" t="str">
        <f t="shared" si="2"/>
        <v xml:space="preserve"> </v>
      </c>
      <c r="F28" s="34" t="str">
        <f>+IFERROR(VLOOKUP(D28,Listas!$A$2:$B$20,2,FALSE)," ")</f>
        <v xml:space="preserve"> </v>
      </c>
      <c r="G28" s="34" t="str">
        <f>IFERROR(VLOOKUP(C28,Listas!$D$2:$E$15,2,FALSE)," ")</f>
        <v xml:space="preserve"> </v>
      </c>
      <c r="H28" s="39" t="str">
        <f t="shared" si="3"/>
        <v xml:space="preserve"> </v>
      </c>
      <c r="I28" s="34" t="str">
        <f>IF(D28=ISBLANK(TRUE)," ",COUNTIF($H$8:H28,H28))</f>
        <v xml:space="preserve"> </v>
      </c>
      <c r="J28" s="50"/>
      <c r="K28" s="40" t="str">
        <f>IFERROR(IF(Inicio!$E28=" "," ",IF((COUNTIFS(Acciones!$B$3:$B$1005,"="&amp;Inicio!$E28,Acciones!$K$3:$K$1005,"=Cerrado")+COUNTIFS(Acciones!$B$3:$B$1005,"="&amp;Inicio!$E28,Acciones!$K$3:$K$1005,"=Cerrado con retraso"))/(COUNTIFS(Acciones!$B$3:$B$1005,"="&amp;Inicio!$E28,Acciones!$K$3:$K$1005,"&lt;&gt;"))=1,"Cerrado",IF(COUNTIFS(Acciones!$B$3:$B$1005,"="&amp;Inicio!$E28,Acciones!$K$3:$K$1005,"Retrasado"),"Retrasado","Abierto"))),"Faltan acciones")</f>
        <v xml:space="preserve"> </v>
      </c>
    </row>
    <row r="29" spans="3:11" x14ac:dyDescent="0.3">
      <c r="C29" s="51"/>
      <c r="D29" s="51"/>
      <c r="E29" s="35" t="str">
        <f t="shared" si="2"/>
        <v xml:space="preserve"> </v>
      </c>
      <c r="F29" s="35" t="str">
        <f>+IFERROR(VLOOKUP(D29,Listas!$A$2:$B$20,2,FALSE)," ")</f>
        <v xml:space="preserve"> </v>
      </c>
      <c r="G29" s="35" t="str">
        <f>IFERROR(VLOOKUP(C29,Listas!$D$2:$E$15,2,FALSE)," ")</f>
        <v xml:space="preserve"> </v>
      </c>
      <c r="H29" s="37" t="str">
        <f t="shared" si="3"/>
        <v xml:space="preserve"> </v>
      </c>
      <c r="I29" s="35" t="str">
        <f>IF(D29=ISBLANK(TRUE)," ",COUNTIF($H$8:H29,H29))</f>
        <v xml:space="preserve"> </v>
      </c>
      <c r="J29" s="51"/>
      <c r="K29" s="38" t="str">
        <f>IFERROR(IF(Inicio!$E29=" "," ",IF((COUNTIFS(Acciones!$B$3:$B$1005,"="&amp;Inicio!$E29,Acciones!$K$3:$K$1005,"=Cerrado")+COUNTIFS(Acciones!$B$3:$B$1005,"="&amp;Inicio!$E29,Acciones!$K$3:$K$1005,"=Cerrado con retraso"))/(COUNTIFS(Acciones!$B$3:$B$1005,"="&amp;Inicio!$E29,Acciones!$K$3:$K$1005,"&lt;&gt;"))=1,"Cerrado",IF(COUNTIFS(Acciones!$B$3:$B$1005,"="&amp;Inicio!$E29,Acciones!$K$3:$K$1005,"Retrasado"),"Retrasado","Abierto"))),"Faltan acciones")</f>
        <v xml:space="preserve"> </v>
      </c>
    </row>
    <row r="30" spans="3:11" x14ac:dyDescent="0.3">
      <c r="C30" s="50"/>
      <c r="D30" s="50"/>
      <c r="E30" s="34" t="str">
        <f t="shared" si="2"/>
        <v xml:space="preserve"> </v>
      </c>
      <c r="F30" s="34" t="str">
        <f>+IFERROR(VLOOKUP(D30,Listas!$A$2:$B$20,2,FALSE)," ")</f>
        <v xml:space="preserve"> </v>
      </c>
      <c r="G30" s="34" t="str">
        <f>IFERROR(VLOOKUP(C30,Listas!$D$2:$E$15,2,FALSE)," ")</f>
        <v xml:space="preserve"> </v>
      </c>
      <c r="H30" s="39" t="str">
        <f t="shared" si="3"/>
        <v xml:space="preserve"> </v>
      </c>
      <c r="I30" s="34" t="str">
        <f>IF(D30=ISBLANK(TRUE)," ",COUNTIF($H$8:H30,H30))</f>
        <v xml:space="preserve"> </v>
      </c>
      <c r="J30" s="50"/>
      <c r="K30" s="40" t="str">
        <f>IFERROR(IF(Inicio!$E30=" "," ",IF((COUNTIFS(Acciones!$B$3:$B$1005,"="&amp;Inicio!$E30,Acciones!$K$3:$K$1005,"=Cerrado")+COUNTIFS(Acciones!$B$3:$B$1005,"="&amp;Inicio!$E30,Acciones!$K$3:$K$1005,"=Cerrado con retraso"))/(COUNTIFS(Acciones!$B$3:$B$1005,"="&amp;Inicio!$E30,Acciones!$K$3:$K$1005,"&lt;&gt;"))=1,"Cerrado",IF(COUNTIFS(Acciones!$B$3:$B$1005,"="&amp;Inicio!$E30,Acciones!$K$3:$K$1005,"Retrasado"),"Retrasado","Abierto"))),"Faltan acciones")</f>
        <v xml:space="preserve"> </v>
      </c>
    </row>
    <row r="31" spans="3:11" x14ac:dyDescent="0.3">
      <c r="C31" s="51"/>
      <c r="D31" s="51"/>
      <c r="E31" s="35" t="str">
        <f t="shared" si="2"/>
        <v xml:space="preserve"> </v>
      </c>
      <c r="F31" s="35" t="str">
        <f>+IFERROR(VLOOKUP(D31,Listas!$A$2:$B$20,2,FALSE)," ")</f>
        <v xml:space="preserve"> </v>
      </c>
      <c r="G31" s="35" t="str">
        <f>IFERROR(VLOOKUP(C31,Listas!$D$2:$E$15,2,FALSE)," ")</f>
        <v xml:space="preserve"> </v>
      </c>
      <c r="H31" s="37" t="str">
        <f t="shared" si="3"/>
        <v xml:space="preserve"> </v>
      </c>
      <c r="I31" s="35" t="str">
        <f>IF(D31=ISBLANK(TRUE)," ",COUNTIF($H$8:H31,H31))</f>
        <v xml:space="preserve"> </v>
      </c>
      <c r="J31" s="51"/>
      <c r="K31" s="38" t="str">
        <f>IFERROR(IF(Inicio!$E31=" "," ",IF((COUNTIFS(Acciones!$B$3:$B$1005,"="&amp;Inicio!$E31,Acciones!$K$3:$K$1005,"=Cerrado")+COUNTIFS(Acciones!$B$3:$B$1005,"="&amp;Inicio!$E31,Acciones!$K$3:$K$1005,"=Cerrado con retraso"))/(COUNTIFS(Acciones!$B$3:$B$1005,"="&amp;Inicio!$E31,Acciones!$K$3:$K$1005,"&lt;&gt;"))=1,"Cerrado",IF(COUNTIFS(Acciones!$B$3:$B$1005,"="&amp;Inicio!$E31,Acciones!$K$3:$K$1005,"Retrasado"),"Retrasado","Abierto"))),"Faltan acciones")</f>
        <v xml:space="preserve"> </v>
      </c>
    </row>
    <row r="32" spans="3:11" x14ac:dyDescent="0.3">
      <c r="C32" s="50"/>
      <c r="D32" s="50"/>
      <c r="E32" s="34" t="str">
        <f t="shared" si="2"/>
        <v xml:space="preserve"> </v>
      </c>
      <c r="F32" s="34" t="str">
        <f>+IFERROR(VLOOKUP(D32,Listas!$A$2:$B$20,2,FALSE)," ")</f>
        <v xml:space="preserve"> </v>
      </c>
      <c r="G32" s="34" t="str">
        <f>IFERROR(VLOOKUP(C32,Listas!$D$2:$E$15,2,FALSE)," ")</f>
        <v xml:space="preserve"> </v>
      </c>
      <c r="H32" s="39" t="str">
        <f t="shared" si="3"/>
        <v xml:space="preserve"> </v>
      </c>
      <c r="I32" s="34" t="str">
        <f>IF(D32=ISBLANK(TRUE)," ",COUNTIF($H$8:H32,H32))</f>
        <v xml:space="preserve"> </v>
      </c>
      <c r="J32" s="50"/>
      <c r="K32" s="40" t="str">
        <f>IFERROR(IF(Inicio!$E32=" "," ",IF((COUNTIFS(Acciones!$B$3:$B$1005,"="&amp;Inicio!$E32,Acciones!$K$3:$K$1005,"=Cerrado")+COUNTIFS(Acciones!$B$3:$B$1005,"="&amp;Inicio!$E32,Acciones!$K$3:$K$1005,"=Cerrado con retraso"))/(COUNTIFS(Acciones!$B$3:$B$1005,"="&amp;Inicio!$E32,Acciones!$K$3:$K$1005,"&lt;&gt;"))=1,"Cerrado",IF(COUNTIFS(Acciones!$B$3:$B$1005,"="&amp;Inicio!$E32,Acciones!$K$3:$K$1005,"Retrasado"),"Retrasado","Abierto"))),"Faltan acciones")</f>
        <v xml:space="preserve"> </v>
      </c>
    </row>
    <row r="33" spans="3:11" x14ac:dyDescent="0.3">
      <c r="C33" s="51"/>
      <c r="D33" s="51"/>
      <c r="E33" s="35" t="str">
        <f t="shared" si="2"/>
        <v xml:space="preserve"> </v>
      </c>
      <c r="F33" s="35" t="str">
        <f>+IFERROR(VLOOKUP(D33,Listas!$A$2:$B$20,2,FALSE)," ")</f>
        <v xml:space="preserve"> </v>
      </c>
      <c r="G33" s="35" t="str">
        <f>IFERROR(VLOOKUP(C33,Listas!$D$2:$E$15,2,FALSE)," ")</f>
        <v xml:space="preserve"> </v>
      </c>
      <c r="H33" s="37" t="str">
        <f t="shared" si="3"/>
        <v xml:space="preserve"> </v>
      </c>
      <c r="I33" s="35" t="str">
        <f>IF(D33=ISBLANK(TRUE)," ",COUNTIF($H$8:H33,H33))</f>
        <v xml:space="preserve"> </v>
      </c>
      <c r="J33" s="51"/>
      <c r="K33" s="38" t="str">
        <f>IFERROR(IF(Inicio!$E33=" "," ",IF((COUNTIFS(Acciones!$B$3:$B$1005,"="&amp;Inicio!$E33,Acciones!$K$3:$K$1005,"=Cerrado")+COUNTIFS(Acciones!$B$3:$B$1005,"="&amp;Inicio!$E33,Acciones!$K$3:$K$1005,"=Cerrado con retraso"))/(COUNTIFS(Acciones!$B$3:$B$1005,"="&amp;Inicio!$E33,Acciones!$K$3:$K$1005,"&lt;&gt;"))=1,"Cerrado",IF(COUNTIFS(Acciones!$B$3:$B$1005,"="&amp;Inicio!$E33,Acciones!$K$3:$K$1005,"Retrasado"),"Retrasado","Abierto"))),"Faltan acciones")</f>
        <v xml:space="preserve"> </v>
      </c>
    </row>
    <row r="34" spans="3:11" x14ac:dyDescent="0.3">
      <c r="C34" s="50"/>
      <c r="D34" s="50"/>
      <c r="E34" s="34" t="str">
        <f t="shared" si="2"/>
        <v xml:space="preserve"> </v>
      </c>
      <c r="F34" s="34" t="str">
        <f>+IFERROR(VLOOKUP(D34,Listas!$A$2:$B$20,2,FALSE)," ")</f>
        <v xml:space="preserve"> </v>
      </c>
      <c r="G34" s="34" t="str">
        <f>IFERROR(VLOOKUP(C34,Listas!$D$2:$E$15,2,FALSE)," ")</f>
        <v xml:space="preserve"> </v>
      </c>
      <c r="H34" s="39" t="str">
        <f t="shared" si="3"/>
        <v xml:space="preserve"> </v>
      </c>
      <c r="I34" s="34" t="str">
        <f>IF(D34=ISBLANK(TRUE)," ",COUNTIF($H$8:H34,H34))</f>
        <v xml:space="preserve"> </v>
      </c>
      <c r="J34" s="50"/>
      <c r="K34" s="40" t="str">
        <f>IFERROR(IF(Inicio!$E34=" "," ",IF((COUNTIFS(Acciones!$B$3:$B$1005,"="&amp;Inicio!$E34,Acciones!$K$3:$K$1005,"=Cerrado")+COUNTIFS(Acciones!$B$3:$B$1005,"="&amp;Inicio!$E34,Acciones!$K$3:$K$1005,"=Cerrado con retraso"))/(COUNTIFS(Acciones!$B$3:$B$1005,"="&amp;Inicio!$E34,Acciones!$K$3:$K$1005,"&lt;&gt;"))=1,"Cerrado",IF(COUNTIFS(Acciones!$B$3:$B$1005,"="&amp;Inicio!$E34,Acciones!$K$3:$K$1005,"Retrasado"),"Retrasado","Abierto"))),"Faltan acciones")</f>
        <v xml:space="preserve"> </v>
      </c>
    </row>
    <row r="35" spans="3:11" x14ac:dyDescent="0.3">
      <c r="C35" s="51"/>
      <c r="D35" s="51"/>
      <c r="E35" s="35" t="str">
        <f t="shared" si="2"/>
        <v xml:space="preserve"> </v>
      </c>
      <c r="F35" s="35" t="str">
        <f>+IFERROR(VLOOKUP(D35,Listas!$A$2:$B$20,2,FALSE)," ")</f>
        <v xml:space="preserve"> </v>
      </c>
      <c r="G35" s="35" t="str">
        <f>IFERROR(VLOOKUP(C35,Listas!$D$2:$E$15,2,FALSE)," ")</f>
        <v xml:space="preserve"> </v>
      </c>
      <c r="H35" s="37" t="str">
        <f t="shared" si="3"/>
        <v xml:space="preserve"> </v>
      </c>
      <c r="I35" s="35" t="str">
        <f>IF(D35=ISBLANK(TRUE)," ",COUNTIF($H$8:H35,H35))</f>
        <v xml:space="preserve"> </v>
      </c>
      <c r="J35" s="51"/>
      <c r="K35" s="38" t="str">
        <f>IFERROR(IF(Inicio!$E35=" "," ",IF((COUNTIFS(Acciones!$B$3:$B$1005,"="&amp;Inicio!$E35,Acciones!$K$3:$K$1005,"=Cerrado")+COUNTIFS(Acciones!$B$3:$B$1005,"="&amp;Inicio!$E35,Acciones!$K$3:$K$1005,"=Cerrado con retraso"))/(COUNTIFS(Acciones!$B$3:$B$1005,"="&amp;Inicio!$E35,Acciones!$K$3:$K$1005,"&lt;&gt;"))=1,"Cerrado",IF(COUNTIFS(Acciones!$B$3:$B$1005,"="&amp;Inicio!$E35,Acciones!$K$3:$K$1005,"Retrasado"),"Retrasado","Abierto"))),"Faltan acciones")</f>
        <v xml:space="preserve"> </v>
      </c>
    </row>
    <row r="36" spans="3:11" x14ac:dyDescent="0.3">
      <c r="C36" s="50"/>
      <c r="D36" s="50"/>
      <c r="E36" s="34" t="str">
        <f t="shared" si="2"/>
        <v xml:space="preserve"> </v>
      </c>
      <c r="F36" s="34" t="str">
        <f>+IFERROR(VLOOKUP(D36,Listas!$A$2:$B$20,2,FALSE)," ")</f>
        <v xml:space="preserve"> </v>
      </c>
      <c r="G36" s="34" t="str">
        <f>IFERROR(VLOOKUP(C36,Listas!$D$2:$E$15,2,FALSE)," ")</f>
        <v xml:space="preserve"> </v>
      </c>
      <c r="H36" s="39" t="str">
        <f t="shared" si="3"/>
        <v xml:space="preserve"> </v>
      </c>
      <c r="I36" s="34" t="str">
        <f>IF(D36=ISBLANK(TRUE)," ",COUNTIF($H$8:H36,H36))</f>
        <v xml:space="preserve"> </v>
      </c>
      <c r="J36" s="50"/>
      <c r="K36" s="40" t="str">
        <f>IFERROR(IF(Inicio!$E36=" "," ",IF((COUNTIFS(Acciones!$B$3:$B$1005,"="&amp;Inicio!$E36,Acciones!$K$3:$K$1005,"=Cerrado")+COUNTIFS(Acciones!$B$3:$B$1005,"="&amp;Inicio!$E36,Acciones!$K$3:$K$1005,"=Cerrado con retraso"))/(COUNTIFS(Acciones!$B$3:$B$1005,"="&amp;Inicio!$E36,Acciones!$K$3:$K$1005,"&lt;&gt;"))=1,"Cerrado",IF(COUNTIFS(Acciones!$B$3:$B$1005,"="&amp;Inicio!$E36,Acciones!$K$3:$K$1005,"Retrasado"),"Retrasado","Abierto"))),"Faltan acciones")</f>
        <v xml:space="preserve"> </v>
      </c>
    </row>
    <row r="37" spans="3:11" x14ac:dyDescent="0.3">
      <c r="C37" s="51"/>
      <c r="D37" s="51"/>
      <c r="E37" s="35" t="str">
        <f t="shared" si="2"/>
        <v xml:space="preserve"> </v>
      </c>
      <c r="F37" s="35" t="str">
        <f>+IFERROR(VLOOKUP(D37,Listas!$A$2:$B$20,2,FALSE)," ")</f>
        <v xml:space="preserve"> </v>
      </c>
      <c r="G37" s="35" t="str">
        <f>IFERROR(VLOOKUP(C37,Listas!$D$2:$E$15,2,FALSE)," ")</f>
        <v xml:space="preserve"> </v>
      </c>
      <c r="H37" s="37" t="str">
        <f t="shared" si="3"/>
        <v xml:space="preserve"> </v>
      </c>
      <c r="I37" s="35" t="str">
        <f>IF(D37=ISBLANK(TRUE)," ",COUNTIF($H$8:H37,H37))</f>
        <v xml:space="preserve"> </v>
      </c>
      <c r="J37" s="51"/>
      <c r="K37" s="38" t="str">
        <f>IFERROR(IF(Inicio!$E37=" "," ",IF((COUNTIFS(Acciones!$B$3:$B$1005,"="&amp;Inicio!$E37,Acciones!$K$3:$K$1005,"=Cerrado")+COUNTIFS(Acciones!$B$3:$B$1005,"="&amp;Inicio!$E37,Acciones!$K$3:$K$1005,"=Cerrado con retraso"))/(COUNTIFS(Acciones!$B$3:$B$1005,"="&amp;Inicio!$E37,Acciones!$K$3:$K$1005,"&lt;&gt;"))=1,"Cerrado",IF(COUNTIFS(Acciones!$B$3:$B$1005,"="&amp;Inicio!$E37,Acciones!$K$3:$K$1005,"Retrasado"),"Retrasado","Abierto"))),"Faltan acciones")</f>
        <v xml:space="preserve"> </v>
      </c>
    </row>
    <row r="38" spans="3:11" x14ac:dyDescent="0.3">
      <c r="C38" s="50"/>
      <c r="D38" s="50"/>
      <c r="E38" s="34" t="str">
        <f t="shared" si="2"/>
        <v xml:space="preserve"> </v>
      </c>
      <c r="F38" s="34" t="str">
        <f>+IFERROR(VLOOKUP(D38,Listas!$A$2:$B$20,2,FALSE)," ")</f>
        <v xml:space="preserve"> </v>
      </c>
      <c r="G38" s="34" t="str">
        <f>IFERROR(VLOOKUP(C38,Listas!$D$2:$E$15,2,FALSE)," ")</f>
        <v xml:space="preserve"> </v>
      </c>
      <c r="H38" s="39" t="str">
        <f t="shared" si="3"/>
        <v xml:space="preserve"> </v>
      </c>
      <c r="I38" s="34" t="str">
        <f>IF(D38=ISBLANK(TRUE)," ",COUNTIF($H$8:H38,H38))</f>
        <v xml:space="preserve"> </v>
      </c>
      <c r="J38" s="50"/>
      <c r="K38" s="40" t="str">
        <f>IFERROR(IF(Inicio!$E38=" "," ",IF((COUNTIFS(Acciones!$B$3:$B$1005,"="&amp;Inicio!$E38,Acciones!$K$3:$K$1005,"=Cerrado")+COUNTIFS(Acciones!$B$3:$B$1005,"="&amp;Inicio!$E38,Acciones!$K$3:$K$1005,"=Cerrado con retraso"))/(COUNTIFS(Acciones!$B$3:$B$1005,"="&amp;Inicio!$E38,Acciones!$K$3:$K$1005,"&lt;&gt;"))=1,"Cerrado",IF(COUNTIFS(Acciones!$B$3:$B$1005,"="&amp;Inicio!$E38,Acciones!$K$3:$K$1005,"Retrasado"),"Retrasado","Abierto"))),"Faltan acciones")</f>
        <v xml:space="preserve"> </v>
      </c>
    </row>
    <row r="39" spans="3:11" x14ac:dyDescent="0.3">
      <c r="C39" s="51"/>
      <c r="D39" s="51"/>
      <c r="E39" s="35" t="str">
        <f t="shared" si="2"/>
        <v xml:space="preserve"> </v>
      </c>
      <c r="F39" s="35" t="str">
        <f>+IFERROR(VLOOKUP(D39,Listas!$A$2:$B$20,2,FALSE)," ")</f>
        <v xml:space="preserve"> </v>
      </c>
      <c r="G39" s="35" t="str">
        <f>IFERROR(VLOOKUP(C39,Listas!$D$2:$E$15,2,FALSE)," ")</f>
        <v xml:space="preserve"> </v>
      </c>
      <c r="H39" s="37" t="str">
        <f t="shared" si="3"/>
        <v xml:space="preserve"> </v>
      </c>
      <c r="I39" s="35" t="str">
        <f>IF(D39=ISBLANK(TRUE)," ",COUNTIF($H$8:H39,H39))</f>
        <v xml:space="preserve"> </v>
      </c>
      <c r="J39" s="51"/>
      <c r="K39" s="38" t="str">
        <f>IFERROR(IF(Inicio!$E39=" "," ",IF((COUNTIFS(Acciones!$B$3:$B$1005,"="&amp;Inicio!$E39,Acciones!$K$3:$K$1005,"=Cerrado")+COUNTIFS(Acciones!$B$3:$B$1005,"="&amp;Inicio!$E39,Acciones!$K$3:$K$1005,"=Cerrado con retraso"))/(COUNTIFS(Acciones!$B$3:$B$1005,"="&amp;Inicio!$E39,Acciones!$K$3:$K$1005,"&lt;&gt;"))=1,"Cerrado",IF(COUNTIFS(Acciones!$B$3:$B$1005,"="&amp;Inicio!$E39,Acciones!$K$3:$K$1005,"Retrasado"),"Retrasado","Abierto"))),"Faltan acciones")</f>
        <v xml:space="preserve"> </v>
      </c>
    </row>
    <row r="40" spans="3:11" x14ac:dyDescent="0.3">
      <c r="C40" s="50"/>
      <c r="D40" s="50"/>
      <c r="E40" s="34" t="str">
        <f t="shared" si="2"/>
        <v xml:space="preserve"> </v>
      </c>
      <c r="F40" s="34" t="str">
        <f>+IFERROR(VLOOKUP(D40,Listas!$A$2:$B$20,2,FALSE)," ")</f>
        <v xml:space="preserve"> </v>
      </c>
      <c r="G40" s="34" t="str">
        <f>IFERROR(VLOOKUP(C40,Listas!$D$2:$E$15,2,FALSE)," ")</f>
        <v xml:space="preserve"> </v>
      </c>
      <c r="H40" s="39" t="str">
        <f t="shared" si="3"/>
        <v xml:space="preserve"> </v>
      </c>
      <c r="I40" s="34" t="str">
        <f>IF(D40=ISBLANK(TRUE)," ",COUNTIF($H$8:H40,H40))</f>
        <v xml:space="preserve"> </v>
      </c>
      <c r="J40" s="50"/>
      <c r="K40" s="40" t="str">
        <f>IFERROR(IF(Inicio!$E40=" "," ",IF((COUNTIFS(Acciones!$B$3:$B$1005,"="&amp;Inicio!$E40,Acciones!$K$3:$K$1005,"=Cerrado")+COUNTIFS(Acciones!$B$3:$B$1005,"="&amp;Inicio!$E40,Acciones!$K$3:$K$1005,"=Cerrado con retraso"))/(COUNTIFS(Acciones!$B$3:$B$1005,"="&amp;Inicio!$E40,Acciones!$K$3:$K$1005,"&lt;&gt;"))=1,"Cerrado",IF(COUNTIFS(Acciones!$B$3:$B$1005,"="&amp;Inicio!$E40,Acciones!$K$3:$K$1005,"Retrasado"),"Retrasado","Abierto"))),"Faltan acciones")</f>
        <v xml:space="preserve"> </v>
      </c>
    </row>
    <row r="41" spans="3:11" x14ac:dyDescent="0.3">
      <c r="C41" s="51"/>
      <c r="D41" s="51"/>
      <c r="E41" s="35" t="str">
        <f t="shared" si="2"/>
        <v xml:space="preserve"> </v>
      </c>
      <c r="F41" s="35" t="str">
        <f>+IFERROR(VLOOKUP(D41,Listas!$A$2:$B$20,2,FALSE)," ")</f>
        <v xml:space="preserve"> </v>
      </c>
      <c r="G41" s="35" t="str">
        <f>IFERROR(VLOOKUP(C41,Listas!$D$2:$E$15,2,FALSE)," ")</f>
        <v xml:space="preserve"> </v>
      </c>
      <c r="H41" s="37" t="str">
        <f t="shared" si="3"/>
        <v xml:space="preserve"> </v>
      </c>
      <c r="I41" s="35" t="str">
        <f>IF(D41=ISBLANK(TRUE)," ",COUNTIF($H$8:H41,H41))</f>
        <v xml:space="preserve"> </v>
      </c>
      <c r="J41" s="51"/>
      <c r="K41" s="38" t="str">
        <f>IFERROR(IF(Inicio!$E41=" "," ",IF((COUNTIFS(Acciones!$B$3:$B$1005,"="&amp;Inicio!$E41,Acciones!$K$3:$K$1005,"=Cerrado")+COUNTIFS(Acciones!$B$3:$B$1005,"="&amp;Inicio!$E41,Acciones!$K$3:$K$1005,"=Cerrado con retraso"))/(COUNTIFS(Acciones!$B$3:$B$1005,"="&amp;Inicio!$E41,Acciones!$K$3:$K$1005,"&lt;&gt;"))=1,"Cerrado",IF(COUNTIFS(Acciones!$B$3:$B$1005,"="&amp;Inicio!$E41,Acciones!$K$3:$K$1005,"Retrasado"),"Retrasado","Abierto"))),"Faltan acciones")</f>
        <v xml:space="preserve"> </v>
      </c>
    </row>
    <row r="42" spans="3:11" x14ac:dyDescent="0.3">
      <c r="C42" s="50"/>
      <c r="D42" s="50"/>
      <c r="E42" s="34" t="str">
        <f t="shared" si="2"/>
        <v xml:space="preserve"> </v>
      </c>
      <c r="F42" s="34" t="str">
        <f>+IFERROR(VLOOKUP(D42,Listas!$A$2:$B$20,2,FALSE)," ")</f>
        <v xml:space="preserve"> </v>
      </c>
      <c r="G42" s="34" t="str">
        <f>IFERROR(VLOOKUP(C42,Listas!$D$2:$E$15,2,FALSE)," ")</f>
        <v xml:space="preserve"> </v>
      </c>
      <c r="H42" s="39" t="str">
        <f t="shared" si="3"/>
        <v xml:space="preserve"> </v>
      </c>
      <c r="I42" s="34" t="str">
        <f>IF(D42=ISBLANK(TRUE)," ",COUNTIF($H$8:H42,H42))</f>
        <v xml:space="preserve"> </v>
      </c>
      <c r="J42" s="50"/>
      <c r="K42" s="40" t="str">
        <f>IFERROR(IF(Inicio!$E42=" "," ",IF((COUNTIFS(Acciones!$B$3:$B$1005,"="&amp;Inicio!$E42,Acciones!$K$3:$K$1005,"=Cerrado")+COUNTIFS(Acciones!$B$3:$B$1005,"="&amp;Inicio!$E42,Acciones!$K$3:$K$1005,"=Cerrado con retraso"))/(COUNTIFS(Acciones!$B$3:$B$1005,"="&amp;Inicio!$E42,Acciones!$K$3:$K$1005,"&lt;&gt;"))=1,"Cerrado",IF(COUNTIFS(Acciones!$B$3:$B$1005,"="&amp;Inicio!$E42,Acciones!$K$3:$K$1005,"Retrasado"),"Retrasado","Abierto"))),"Faltan acciones")</f>
        <v xml:space="preserve"> </v>
      </c>
    </row>
    <row r="43" spans="3:11" x14ac:dyDescent="0.3">
      <c r="C43" s="51"/>
      <c r="D43" s="51"/>
      <c r="E43" s="35" t="str">
        <f t="shared" si="2"/>
        <v xml:space="preserve"> </v>
      </c>
      <c r="F43" s="35" t="str">
        <f>+IFERROR(VLOOKUP(D43,Listas!$A$2:$B$20,2,FALSE)," ")</f>
        <v xml:space="preserve"> </v>
      </c>
      <c r="G43" s="35" t="str">
        <f>IFERROR(VLOOKUP(C43,Listas!$D$2:$E$15,2,FALSE)," ")</f>
        <v xml:space="preserve"> </v>
      </c>
      <c r="H43" s="37" t="str">
        <f t="shared" si="3"/>
        <v xml:space="preserve"> </v>
      </c>
      <c r="I43" s="35" t="str">
        <f>IF(D43=ISBLANK(TRUE)," ",COUNTIF($H$8:H43,H43))</f>
        <v xml:space="preserve"> </v>
      </c>
      <c r="J43" s="51"/>
      <c r="K43" s="38" t="str">
        <f>IFERROR(IF(Inicio!$E43=" "," ",IF((COUNTIFS(Acciones!$B$3:$B$1005,"="&amp;Inicio!$E43,Acciones!$K$3:$K$1005,"=Cerrado")+COUNTIFS(Acciones!$B$3:$B$1005,"="&amp;Inicio!$E43,Acciones!$K$3:$K$1005,"=Cerrado con retraso"))/(COUNTIFS(Acciones!$B$3:$B$1005,"="&amp;Inicio!$E43,Acciones!$K$3:$K$1005,"&lt;&gt;"))=1,"Cerrado",IF(COUNTIFS(Acciones!$B$3:$B$1005,"="&amp;Inicio!$E43,Acciones!$K$3:$K$1005,"Retrasado"),"Retrasado","Abierto"))),"Faltan acciones")</f>
        <v xml:space="preserve"> </v>
      </c>
    </row>
    <row r="44" spans="3:11" x14ac:dyDescent="0.3">
      <c r="C44" s="50"/>
      <c r="D44" s="50"/>
      <c r="E44" s="34" t="str">
        <f t="shared" si="2"/>
        <v xml:space="preserve"> </v>
      </c>
      <c r="F44" s="34" t="str">
        <f>+IFERROR(VLOOKUP(D44,Listas!$A$2:$B$20,2,FALSE)," ")</f>
        <v xml:space="preserve"> </v>
      </c>
      <c r="G44" s="34" t="str">
        <f>IFERROR(VLOOKUP(C44,Listas!$D$2:$E$15,2,FALSE)," ")</f>
        <v xml:space="preserve"> </v>
      </c>
      <c r="H44" s="39" t="str">
        <f t="shared" si="3"/>
        <v xml:space="preserve"> </v>
      </c>
      <c r="I44" s="34" t="str">
        <f>IF(D44=ISBLANK(TRUE)," ",COUNTIF($H$8:H44,H44))</f>
        <v xml:space="preserve"> </v>
      </c>
      <c r="J44" s="50"/>
      <c r="K44" s="40" t="str">
        <f>IFERROR(IF(Inicio!$E44=" "," ",IF((COUNTIFS(Acciones!$B$3:$B$1005,"="&amp;Inicio!$E44,Acciones!$K$3:$K$1005,"=Cerrado")+COUNTIFS(Acciones!$B$3:$B$1005,"="&amp;Inicio!$E44,Acciones!$K$3:$K$1005,"=Cerrado con retraso"))/(COUNTIFS(Acciones!$B$3:$B$1005,"="&amp;Inicio!$E44,Acciones!$K$3:$K$1005,"&lt;&gt;"))=1,"Cerrado",IF(COUNTIFS(Acciones!$B$3:$B$1005,"="&amp;Inicio!$E44,Acciones!$K$3:$K$1005,"Retrasado"),"Retrasado","Abierto"))),"Faltan acciones")</f>
        <v xml:space="preserve"> </v>
      </c>
    </row>
    <row r="45" spans="3:11" x14ac:dyDescent="0.3">
      <c r="C45" s="51"/>
      <c r="D45" s="51"/>
      <c r="E45" s="35" t="str">
        <f t="shared" si="2"/>
        <v xml:space="preserve"> </v>
      </c>
      <c r="F45" s="35" t="str">
        <f>+IFERROR(VLOOKUP(D45,Listas!$A$2:$B$20,2,FALSE)," ")</f>
        <v xml:space="preserve"> </v>
      </c>
      <c r="G45" s="35" t="str">
        <f>IFERROR(VLOOKUP(C45,Listas!$D$2:$E$15,2,FALSE)," ")</f>
        <v xml:space="preserve"> </v>
      </c>
      <c r="H45" s="37" t="str">
        <f t="shared" si="3"/>
        <v xml:space="preserve"> </v>
      </c>
      <c r="I45" s="35" t="str">
        <f>IF(D45=ISBLANK(TRUE)," ",COUNTIF($H$8:H45,H45))</f>
        <v xml:space="preserve"> </v>
      </c>
      <c r="J45" s="51"/>
      <c r="K45" s="38" t="str">
        <f>IFERROR(IF(Inicio!$E45=" "," ",IF((COUNTIFS(Acciones!$B$3:$B$1005,"="&amp;Inicio!$E45,Acciones!$K$3:$K$1005,"=Cerrado")+COUNTIFS(Acciones!$B$3:$B$1005,"="&amp;Inicio!$E45,Acciones!$K$3:$K$1005,"=Cerrado con retraso"))/(COUNTIFS(Acciones!$B$3:$B$1005,"="&amp;Inicio!$E45,Acciones!$K$3:$K$1005,"&lt;&gt;"))=1,"Cerrado",IF(COUNTIFS(Acciones!$B$3:$B$1005,"="&amp;Inicio!$E45,Acciones!$K$3:$K$1005,"Retrasado"),"Retrasado","Abierto"))),"Faltan acciones")</f>
        <v xml:space="preserve"> </v>
      </c>
    </row>
    <row r="46" spans="3:11" x14ac:dyDescent="0.3">
      <c r="C46" s="52"/>
      <c r="D46" s="52"/>
      <c r="E46" s="41" t="str">
        <f t="shared" si="2"/>
        <v xml:space="preserve"> </v>
      </c>
      <c r="F46" s="41" t="str">
        <f>+IFERROR(VLOOKUP(D46,Listas!$A$2:$B$20,2,FALSE)," ")</f>
        <v xml:space="preserve"> </v>
      </c>
      <c r="G46" s="41" t="str">
        <f>IFERROR(VLOOKUP(C46,Listas!$D$2:$E$15,2,FALSE)," ")</f>
        <v xml:space="preserve"> </v>
      </c>
      <c r="H46" s="42" t="str">
        <f t="shared" si="3"/>
        <v xml:space="preserve"> </v>
      </c>
      <c r="I46" s="41" t="str">
        <f>IF(D46=ISBLANK(TRUE)," ",COUNTIF($H$8:H46,H46))</f>
        <v xml:space="preserve"> </v>
      </c>
      <c r="J46" s="52"/>
      <c r="K46" s="30" t="str">
        <f>IFERROR(IF(Inicio!$E46=" "," ",IF((COUNTIFS(Acciones!$B$3:$B$1005,"="&amp;Inicio!$E46,Acciones!$K$3:$K$1005,"=Cerrado")+COUNTIFS(Acciones!$B$3:$B$1005,"="&amp;Inicio!$E46,Acciones!$K$3:$K$1005,"=Cerrado con retraso"))/(COUNTIFS(Acciones!$B$3:$B$1005,"="&amp;Inicio!$E46,Acciones!$K$3:$K$1005,"&lt;&gt;"))=1,"Cerrado",IF(COUNTIFS(Acciones!$B$3:$B$1005,"="&amp;Inicio!$E46,Acciones!$K$3:$K$1005,"Retrasado"),"Retrasado","Abierto"))),"Faltan acciones")</f>
        <v xml:space="preserve"> </v>
      </c>
    </row>
  </sheetData>
  <sheetProtection sheet="1" autoFilter="0"/>
  <autoFilter ref="C7:K7"/>
  <customSheetViews>
    <customSheetView guid="{B60C2B29-843E-4A3D-B0FD-F091A51CE9F0}" showGridLines="0" showAutoFilter="1" hiddenColumns="1">
      <selection activeCell="D8" sqref="D8"/>
      <pageMargins left="0.7" right="0.7" top="0.75" bottom="0.75" header="0.3" footer="0.3"/>
      <pageSetup paperSize="9" orientation="portrait" r:id="rId1"/>
      <autoFilter ref="C7:K7"/>
    </customSheetView>
  </customSheetViews>
  <mergeCells count="4">
    <mergeCell ref="A3:M4"/>
    <mergeCell ref="C6:K6"/>
    <mergeCell ref="C1:J1"/>
    <mergeCell ref="K1:N1"/>
  </mergeCells>
  <conditionalFormatting sqref="K8:K46">
    <cfRule type="containsText" dxfId="8" priority="1" operator="containsText" text="Faltan acciones">
      <formula>NOT(ISERROR(SEARCH("Faltan acciones",K8)))</formula>
    </cfRule>
    <cfRule type="containsText" dxfId="7" priority="2" operator="containsText" text="Cerrado">
      <formula>NOT(ISERROR(SEARCH("Cerrado",K8)))</formula>
    </cfRule>
    <cfRule type="containsText" dxfId="6" priority="3" operator="containsText" text="Abierto">
      <formula>NOT(ISERROR(SEARCH("Abierto",K8)))</formula>
    </cfRule>
    <cfRule type="containsText" dxfId="5" priority="4" operator="containsText" text="Retrasado">
      <formula>NOT(ISERROR(SEARCH("Retrasado",K8)))</formula>
    </cfRule>
  </conditionalFormatting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Listas!$A$2:$A$20</xm:f>
          </x14:formula1>
          <xm:sqref>D8:D46</xm:sqref>
        </x14:dataValidation>
        <x14:dataValidation type="list" allowBlank="1" showInputMessage="1" showErrorMessage="1">
          <x14:formula1>
            <xm:f>Listas!$D$2:$D$17</xm:f>
          </x14:formula1>
          <xm:sqref>C8:C46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U1005"/>
  <sheetViews>
    <sheetView tabSelected="1" topLeftCell="B1" workbookViewId="0">
      <selection activeCell="I12" sqref="I12"/>
    </sheetView>
  </sheetViews>
  <sheetFormatPr baseColWidth="10" defaultColWidth="8.6640625" defaultRowHeight="14.4" x14ac:dyDescent="0.3"/>
  <cols>
    <col min="1" max="1" width="8.6640625" style="2" customWidth="1"/>
    <col min="2" max="2" width="7" style="5" customWidth="1"/>
    <col min="3" max="3" width="17.21875" style="6" customWidth="1"/>
    <col min="4" max="4" width="47.6640625" style="6" customWidth="1"/>
    <col min="5" max="5" width="7.33203125" style="5" customWidth="1"/>
    <col min="6" max="6" width="16" style="5" bestFit="1" customWidth="1"/>
    <col min="7" max="7" width="16" style="5" customWidth="1"/>
    <col min="8" max="10" width="11.88671875" style="5" customWidth="1"/>
    <col min="11" max="11" width="16.21875" style="7" customWidth="1"/>
    <col min="12" max="12" width="51.88671875" style="6" customWidth="1"/>
    <col min="13" max="13" width="9" style="5" customWidth="1"/>
    <col min="14" max="14" width="10.6640625" style="2" bestFit="1" customWidth="1"/>
    <col min="15" max="15" width="15" style="2" customWidth="1"/>
    <col min="16" max="19" width="8.6640625" style="2"/>
    <col min="20" max="20" width="16.6640625" style="2" hidden="1" customWidth="1"/>
    <col min="21" max="21" width="8.6640625" style="2" hidden="1" customWidth="1"/>
    <col min="22" max="16384" width="8.6640625" style="2"/>
  </cols>
  <sheetData>
    <row r="1" spans="1:21" ht="15" customHeight="1" x14ac:dyDescent="0.3">
      <c r="B1" s="20"/>
      <c r="T1" s="80" t="s">
        <v>83</v>
      </c>
      <c r="U1" s="80"/>
    </row>
    <row r="2" spans="1:21" ht="27.6" customHeight="1" x14ac:dyDescent="0.3">
      <c r="A2" s="1"/>
      <c r="B2" s="44" t="s">
        <v>13</v>
      </c>
      <c r="C2" s="45" t="s">
        <v>0</v>
      </c>
      <c r="D2" s="45" t="s">
        <v>1</v>
      </c>
      <c r="E2" s="45" t="s">
        <v>2</v>
      </c>
      <c r="F2" s="45" t="s">
        <v>3</v>
      </c>
      <c r="G2" s="45" t="s">
        <v>50</v>
      </c>
      <c r="H2" s="44" t="s">
        <v>4</v>
      </c>
      <c r="I2" s="44" t="s">
        <v>5</v>
      </c>
      <c r="J2" s="44" t="s">
        <v>6</v>
      </c>
      <c r="K2" s="45" t="s">
        <v>7</v>
      </c>
      <c r="L2" s="45" t="s">
        <v>8</v>
      </c>
      <c r="M2" s="46" t="s">
        <v>9</v>
      </c>
      <c r="N2" s="21">
        <f ca="1">+TODAY()</f>
        <v>44474</v>
      </c>
      <c r="T2" s="43">
        <v>44433.398368055554</v>
      </c>
      <c r="U2" s="22" t="s">
        <v>84</v>
      </c>
    </row>
    <row r="3" spans="1:21" s="3" customFormat="1" ht="15" customHeight="1" x14ac:dyDescent="0.3">
      <c r="B3" s="53"/>
      <c r="C3" s="54"/>
      <c r="D3" s="55"/>
      <c r="E3" s="56"/>
      <c r="F3" s="56"/>
      <c r="G3" s="56" t="str">
        <f>IF(ISBLANK(Acciones!$H3)=TRUE," ",WEEKNUM(Acciones!$H3,21))</f>
        <v xml:space="preserve"> </v>
      </c>
      <c r="H3" s="54"/>
      <c r="I3" s="54"/>
      <c r="J3" s="54"/>
      <c r="K3" s="47" t="str">
        <f ca="1">IF(AND(ISBLANK(Acciones!$D3)=FALSE,ISBLANK(Acciones!$H3)=TRUE),"Faltan fechas",IF(Acciones!$H3="","",IF(AND(Acciones!$H3&gt;=TODAY(),ISBLANK(Acciones!$J3)=TRUE),"En tiempo",IF(AND(Acciones!$H3&lt;TODAY(),Acciones!$J3=""),"Retrasado",IF(Acciones!$J3&gt;Acciones!$H3,"Cerrado con retraso","Cerrado")))))</f>
        <v/>
      </c>
      <c r="L3" s="62"/>
      <c r="M3" s="72"/>
      <c r="O3" s="19"/>
      <c r="T3" s="23">
        <v>44407.465636574074</v>
      </c>
      <c r="U3" s="24" t="s">
        <v>84</v>
      </c>
    </row>
    <row r="4" spans="1:21" s="3" customFormat="1" ht="15" customHeight="1" x14ac:dyDescent="0.3">
      <c r="B4" s="53"/>
      <c r="C4" s="57"/>
      <c r="D4" s="55"/>
      <c r="E4" s="56"/>
      <c r="F4" s="56"/>
      <c r="G4" s="56" t="str">
        <f>IF(ISBLANK(Acciones!$H4)=TRUE," ",WEEKNUM(Acciones!$H4,21))</f>
        <v xml:space="preserve"> </v>
      </c>
      <c r="H4" s="54"/>
      <c r="I4" s="54"/>
      <c r="J4" s="54"/>
      <c r="K4" s="47" t="str">
        <f ca="1">IF(AND(ISBLANK(Acciones!$D4)=FALSE,ISBLANK(Acciones!$H4)=TRUE),"Faltan fechas",IF(Acciones!$H4="","",IF(AND(Acciones!$H4&gt;=TODAY(),ISBLANK(Acciones!$J4)=TRUE),"En tiempo",IF(AND(Acciones!$H4&lt;TODAY(),Acciones!$J4=""),"Retrasado",IF(Acciones!$J4&gt;Acciones!$H4,"Cerrado con retraso","Cerrado")))))</f>
        <v/>
      </c>
      <c r="L4" s="55"/>
      <c r="M4" s="73"/>
      <c r="T4" s="23">
        <v>44406.600300925929</v>
      </c>
      <c r="U4" s="24" t="s">
        <v>84</v>
      </c>
    </row>
    <row r="5" spans="1:21" s="3" customFormat="1" ht="15" customHeight="1" x14ac:dyDescent="0.3">
      <c r="B5" s="58"/>
      <c r="C5" s="57"/>
      <c r="D5" s="55"/>
      <c r="E5" s="56"/>
      <c r="F5" s="53"/>
      <c r="G5" s="53" t="str">
        <f>IF(ISBLANK(Acciones!$H5)=TRUE," ",WEEKNUM(Acciones!$H5,21))</f>
        <v xml:space="preserve"> </v>
      </c>
      <c r="H5" s="54"/>
      <c r="I5" s="54"/>
      <c r="J5" s="54"/>
      <c r="K5" s="47" t="str">
        <f ca="1">IF(AND(ISBLANK(Acciones!$D5)=FALSE,ISBLANK(Acciones!$H5)=TRUE),"Faltan fechas",IF(Acciones!$H5="","",IF(AND(Acciones!$H5&gt;=TODAY(),ISBLANK(Acciones!$J5)=TRUE),"En tiempo",IF(AND(Acciones!$H5&lt;TODAY(),Acciones!$J5=""),"Retrasado",IF(Acciones!$J5&gt;Acciones!$H5,"Cerrado con retraso","Cerrado")))))</f>
        <v/>
      </c>
      <c r="L5" s="55"/>
      <c r="M5" s="74"/>
      <c r="T5" s="23">
        <v>44405.545983796299</v>
      </c>
      <c r="U5" s="24" t="s">
        <v>84</v>
      </c>
    </row>
    <row r="6" spans="1:21" s="3" customFormat="1" ht="15" customHeight="1" x14ac:dyDescent="0.3">
      <c r="B6" s="53"/>
      <c r="C6" s="57"/>
      <c r="D6" s="55"/>
      <c r="E6" s="56"/>
      <c r="F6" s="53"/>
      <c r="G6" s="53" t="str">
        <f>IF(ISBLANK(Acciones!$H6)=TRUE," ",WEEKNUM(Acciones!$H6,21))</f>
        <v xml:space="preserve"> </v>
      </c>
      <c r="H6" s="59"/>
      <c r="I6" s="59"/>
      <c r="J6" s="59"/>
      <c r="K6" s="47" t="str">
        <f ca="1">IF(AND(ISBLANK(Acciones!$D6)=FALSE,ISBLANK(Acciones!$H6)=TRUE),"Faltan fechas",IF(Acciones!$H6="","",IF(AND(Acciones!$H6&gt;=TODAY(),ISBLANK(Acciones!$J6)=TRUE),"En tiempo",IF(AND(Acciones!$H6&lt;TODAY(),Acciones!$J6=""),"Retrasado",IF(Acciones!$J6&gt;Acciones!$H6,"Cerrado con retraso","Cerrado")))))</f>
        <v/>
      </c>
      <c r="L6" s="61"/>
      <c r="M6" s="74"/>
      <c r="T6" s="23">
        <v>44405.546689814815</v>
      </c>
      <c r="U6" s="24" t="s">
        <v>84</v>
      </c>
    </row>
    <row r="7" spans="1:21" s="3" customFormat="1" ht="15" customHeight="1" x14ac:dyDescent="0.3">
      <c r="B7" s="58"/>
      <c r="C7" s="57"/>
      <c r="D7" s="55"/>
      <c r="E7" s="56"/>
      <c r="F7" s="56"/>
      <c r="G7" s="56" t="str">
        <f>IF(ISBLANK(Acciones!$H7)=TRUE," ",WEEKNUM(Acciones!$H7,21))</f>
        <v xml:space="preserve"> </v>
      </c>
      <c r="H7" s="54"/>
      <c r="I7" s="54"/>
      <c r="J7" s="54"/>
      <c r="K7" s="47" t="str">
        <f ca="1">IF(AND(ISBLANK(Acciones!$D7)=FALSE,ISBLANK(Acciones!$H7)=TRUE),"Faltan fechas",IF(Acciones!$H7="","",IF(AND(Acciones!$H7&gt;=TODAY(),ISBLANK(Acciones!$J7)=TRUE),"En tiempo",IF(AND(Acciones!$H7&lt;TODAY(),Acciones!$J7=""),"Retrasado",IF(Acciones!$J7&gt;Acciones!$H7,"Cerrado con retraso","Cerrado")))))</f>
        <v/>
      </c>
      <c r="L7" s="55"/>
      <c r="M7" s="73"/>
      <c r="T7" s="23">
        <v>44405.546712962961</v>
      </c>
      <c r="U7" s="24" t="s">
        <v>84</v>
      </c>
    </row>
    <row r="8" spans="1:21" s="3" customFormat="1" ht="15" customHeight="1" x14ac:dyDescent="0.3">
      <c r="B8" s="58"/>
      <c r="C8" s="57"/>
      <c r="D8" s="55"/>
      <c r="E8" s="56"/>
      <c r="F8" s="53"/>
      <c r="G8" s="53" t="str">
        <f>IF(ISBLANK(Acciones!$H8)=TRUE," ",WEEKNUM(Acciones!$H8,21))</f>
        <v xml:space="preserve"> </v>
      </c>
      <c r="H8" s="54"/>
      <c r="I8" s="54"/>
      <c r="J8" s="54"/>
      <c r="K8" s="47" t="str">
        <f ca="1">IF(AND(ISBLANK(Acciones!$D8)=FALSE,ISBLANK(Acciones!$H8)=TRUE),"Faltan fechas",IF(Acciones!$H8="","",IF(AND(Acciones!$H8&gt;=TODAY(),ISBLANK(Acciones!$J8)=TRUE),"En tiempo",IF(AND(Acciones!$H8&lt;TODAY(),Acciones!$J8=""),"Retrasado",IF(Acciones!$J8&gt;Acciones!$H8,"Cerrado con retraso","Cerrado")))))</f>
        <v/>
      </c>
      <c r="L8" s="61"/>
      <c r="M8" s="74"/>
      <c r="T8" s="23">
        <v>44405.546747685185</v>
      </c>
      <c r="U8" s="24" t="s">
        <v>84</v>
      </c>
    </row>
    <row r="9" spans="1:21" s="3" customFormat="1" ht="15" customHeight="1" x14ac:dyDescent="0.3">
      <c r="B9" s="53"/>
      <c r="C9" s="57"/>
      <c r="D9" s="55"/>
      <c r="E9" s="56"/>
      <c r="F9" s="53"/>
      <c r="G9" s="53" t="str">
        <f>IF(ISBLANK(Acciones!$H9)=TRUE," ",WEEKNUM(Acciones!$H9,21))</f>
        <v xml:space="preserve"> </v>
      </c>
      <c r="H9" s="59"/>
      <c r="I9" s="59"/>
      <c r="J9" s="59"/>
      <c r="K9" s="47" t="str">
        <f ca="1">IF(AND(ISBLANK(Acciones!$D9)=FALSE,ISBLANK(Acciones!$H9)=TRUE),"Faltan fechas",IF(Acciones!$H9="","",IF(AND(Acciones!$H9&gt;=TODAY(),ISBLANK(Acciones!$J9)=TRUE),"En tiempo",IF(AND(Acciones!$H9&lt;TODAY(),Acciones!$J9=""),"Retrasado",IF(Acciones!$J9&gt;Acciones!$H9,"Cerrado con retraso","Cerrado")))))</f>
        <v/>
      </c>
      <c r="L9" s="61"/>
      <c r="M9" s="74"/>
      <c r="T9" s="23">
        <v>44406.43277777778</v>
      </c>
      <c r="U9" s="24" t="s">
        <v>84</v>
      </c>
    </row>
    <row r="10" spans="1:21" s="3" customFormat="1" ht="15" customHeight="1" x14ac:dyDescent="0.3">
      <c r="B10" s="58"/>
      <c r="C10" s="57"/>
      <c r="D10" s="55"/>
      <c r="E10" s="56"/>
      <c r="F10" s="56"/>
      <c r="G10" s="56" t="str">
        <f>IF(ISBLANK(Acciones!$H10)=TRUE," ",WEEKNUM(Acciones!$H10,21))</f>
        <v xml:space="preserve"> </v>
      </c>
      <c r="H10" s="54"/>
      <c r="I10" s="54"/>
      <c r="J10" s="54"/>
      <c r="K10" s="47" t="str">
        <f ca="1">IF(AND(ISBLANK(Acciones!$D10)=FALSE,ISBLANK(Acciones!$H10)=TRUE),"Faltan fechas",IF(Acciones!$H10="","",IF(AND(Acciones!$H10&gt;=TODAY(),ISBLANK(Acciones!$J10)=TRUE),"En tiempo",IF(AND(Acciones!$H10&lt;TODAY(),Acciones!$J10=""),"Retrasado",IF(Acciones!$J10&gt;Acciones!$H10,"Cerrado con retraso","Cerrado")))))</f>
        <v/>
      </c>
      <c r="L10" s="55"/>
      <c r="M10" s="73"/>
      <c r="T10" s="23">
        <v>44405.546932870369</v>
      </c>
      <c r="U10" s="24" t="s">
        <v>84</v>
      </c>
    </row>
    <row r="11" spans="1:21" s="3" customFormat="1" ht="15" customHeight="1" x14ac:dyDescent="0.3">
      <c r="B11" s="53"/>
      <c r="C11" s="57"/>
      <c r="D11" s="55"/>
      <c r="E11" s="56"/>
      <c r="F11" s="56"/>
      <c r="G11" s="56" t="str">
        <f>IF(ISBLANK(Acciones!$H11)=TRUE," ",WEEKNUM(Acciones!$H11,21))</f>
        <v xml:space="preserve"> </v>
      </c>
      <c r="H11" s="54"/>
      <c r="I11" s="54"/>
      <c r="J11" s="54"/>
      <c r="K11" s="47" t="str">
        <f ca="1">IF(AND(ISBLANK(Acciones!$D11)=FALSE,ISBLANK(Acciones!$H11)=TRUE),"Faltan fechas",IF(Acciones!$H11="","",IF(AND(Acciones!$H11&gt;=TODAY(),ISBLANK(Acciones!$J11)=TRUE),"En tiempo",IF(AND(Acciones!$H11&lt;TODAY(),Acciones!$J11=""),"Retrasado",IF(Acciones!$J11&gt;Acciones!$H11,"Cerrado con retraso","Cerrado")))))</f>
        <v/>
      </c>
      <c r="L11" s="55"/>
      <c r="M11" s="73"/>
      <c r="T11" s="23">
        <v>44405.546956018516</v>
      </c>
      <c r="U11" s="24" t="s">
        <v>84</v>
      </c>
    </row>
    <row r="12" spans="1:21" s="3" customFormat="1" ht="15" customHeight="1" x14ac:dyDescent="0.3">
      <c r="B12" s="58"/>
      <c r="C12" s="57"/>
      <c r="D12" s="55"/>
      <c r="E12" s="56"/>
      <c r="F12" s="60"/>
      <c r="G12" s="60" t="str">
        <f>IF(ISBLANK(Acciones!$H12)=TRUE," ",WEEKNUM(Acciones!$H12,21))</f>
        <v xml:space="preserve"> </v>
      </c>
      <c r="H12" s="54"/>
      <c r="I12" s="54"/>
      <c r="J12" s="54"/>
      <c r="K12" s="47" t="str">
        <f ca="1">IF(AND(ISBLANK(Acciones!$D12)=FALSE,ISBLANK(Acciones!$H12)=TRUE),"Faltan fechas",IF(Acciones!$H12="","",IF(AND(Acciones!$H12&gt;=TODAY(),ISBLANK(Acciones!$J12)=TRUE),"En tiempo",IF(AND(Acciones!$H12&lt;TODAY(),Acciones!$J12=""),"Retrasado",IF(Acciones!$J12&gt;Acciones!$H12,"Cerrado con retraso","Cerrado")))))</f>
        <v/>
      </c>
      <c r="L12" s="55"/>
      <c r="M12" s="74"/>
      <c r="T12" s="23">
        <v>44405.546979166669</v>
      </c>
      <c r="U12" s="24" t="s">
        <v>84</v>
      </c>
    </row>
    <row r="13" spans="1:21" s="3" customFormat="1" ht="15" customHeight="1" x14ac:dyDescent="0.3">
      <c r="B13" s="53"/>
      <c r="C13" s="57"/>
      <c r="D13" s="55"/>
      <c r="E13" s="56"/>
      <c r="F13" s="56"/>
      <c r="G13" s="56" t="str">
        <f>IF(ISBLANK(Acciones!$H13)=TRUE," ",WEEKNUM(Acciones!$H13,21))</f>
        <v xml:space="preserve"> </v>
      </c>
      <c r="H13" s="54"/>
      <c r="I13" s="54"/>
      <c r="J13" s="54"/>
      <c r="K13" s="47" t="str">
        <f ca="1">IF(AND(ISBLANK(Acciones!$D13)=FALSE,ISBLANK(Acciones!$H13)=TRUE),"Faltan fechas",IF(Acciones!$H13="","",IF(AND(Acciones!$H13&gt;=TODAY(),ISBLANK(Acciones!$J13)=TRUE),"En tiempo",IF(AND(Acciones!$H13&lt;TODAY(),Acciones!$J13=""),"Retrasado",IF(Acciones!$J13&gt;Acciones!$H13,"Cerrado con retraso","Cerrado")))))</f>
        <v/>
      </c>
      <c r="L13" s="55"/>
      <c r="M13" s="73"/>
      <c r="T13" s="23">
        <v>44406.612835648149</v>
      </c>
      <c r="U13" s="24" t="s">
        <v>84</v>
      </c>
    </row>
    <row r="14" spans="1:21" s="3" customFormat="1" ht="15" customHeight="1" x14ac:dyDescent="0.3">
      <c r="B14" s="53"/>
      <c r="C14" s="57"/>
      <c r="D14" s="55"/>
      <c r="E14" s="56"/>
      <c r="F14" s="56"/>
      <c r="G14" s="56" t="str">
        <f>IF(ISBLANK(Acciones!$H14)=TRUE," ",WEEKNUM(Acciones!$H14,21))</f>
        <v xml:space="preserve"> </v>
      </c>
      <c r="H14" s="54"/>
      <c r="I14" s="54"/>
      <c r="J14" s="54"/>
      <c r="K14" s="47" t="str">
        <f ca="1">IF(AND(ISBLANK(Acciones!$D14)=FALSE,ISBLANK(Acciones!$H14)=TRUE),"Faltan fechas",IF(Acciones!$H14="","",IF(AND(Acciones!$H14&gt;=TODAY(),ISBLANK(Acciones!$J14)=TRUE),"En tiempo",IF(AND(Acciones!$H14&lt;TODAY(),Acciones!$J14=""),"Retrasado",IF(Acciones!$J14&gt;Acciones!$H14,"Cerrado con retraso","Cerrado")))))</f>
        <v/>
      </c>
      <c r="L14" s="55"/>
      <c r="M14" s="73"/>
      <c r="T14" s="23">
        <v>44406.614571759259</v>
      </c>
      <c r="U14" s="24" t="s">
        <v>84</v>
      </c>
    </row>
    <row r="15" spans="1:21" s="3" customFormat="1" ht="15" customHeight="1" x14ac:dyDescent="0.3">
      <c r="B15" s="53"/>
      <c r="C15" s="57"/>
      <c r="D15" s="55"/>
      <c r="E15" s="56"/>
      <c r="F15" s="56"/>
      <c r="G15" s="56" t="str">
        <f>IF(ISBLANK(Acciones!$H15)=TRUE," ",WEEKNUM(Acciones!$H15,21))</f>
        <v xml:space="preserve"> </v>
      </c>
      <c r="H15" s="54"/>
      <c r="I15" s="54"/>
      <c r="J15" s="54"/>
      <c r="K15" s="47" t="str">
        <f ca="1">IF(AND(ISBLANK(Acciones!$D15)=FALSE,ISBLANK(Acciones!$H15)=TRUE),"Faltan fechas",IF(Acciones!$H15="","",IF(AND(Acciones!$H15&gt;=TODAY(),ISBLANK(Acciones!$J15)=TRUE),"En tiempo",IF(AND(Acciones!$H15&lt;TODAY(),Acciones!$J15=""),"Retrasado",IF(Acciones!$J15&gt;Acciones!$H15,"Cerrado con retraso","Cerrado")))))</f>
        <v/>
      </c>
      <c r="L15" s="55"/>
      <c r="M15" s="73"/>
      <c r="T15" s="23">
        <v>44406.647199074076</v>
      </c>
      <c r="U15" s="24" t="s">
        <v>84</v>
      </c>
    </row>
    <row r="16" spans="1:21" s="3" customFormat="1" ht="15" customHeight="1" x14ac:dyDescent="0.3">
      <c r="B16" s="53"/>
      <c r="C16" s="57"/>
      <c r="D16" s="61"/>
      <c r="E16" s="56"/>
      <c r="F16" s="53"/>
      <c r="G16" s="53" t="str">
        <f>IF(ISBLANK(Acciones!$H16)=TRUE," ",WEEKNUM(Acciones!$H16,21))</f>
        <v xml:space="preserve"> </v>
      </c>
      <c r="H16" s="59"/>
      <c r="I16" s="59"/>
      <c r="J16" s="59"/>
      <c r="K16" s="47" t="str">
        <f ca="1">IF(AND(ISBLANK(Acciones!$D16)=FALSE,ISBLANK(Acciones!$H16)=TRUE),"Faltan fechas",IF(Acciones!$H16="","",IF(AND(Acciones!$H16&gt;=TODAY(),ISBLANK(Acciones!$J16)=TRUE),"En tiempo",IF(AND(Acciones!$H16&lt;TODAY(),Acciones!$J16=""),"Retrasado",IF(Acciones!$J16&gt;Acciones!$H16,"Cerrado con retraso","Cerrado")))))</f>
        <v/>
      </c>
      <c r="L16" s="61"/>
      <c r="M16" s="74"/>
      <c r="T16" s="24"/>
      <c r="U16" s="24"/>
    </row>
    <row r="17" spans="2:21" s="3" customFormat="1" ht="15" customHeight="1" x14ac:dyDescent="0.3">
      <c r="B17" s="53"/>
      <c r="C17" s="57"/>
      <c r="D17" s="62"/>
      <c r="E17" s="56"/>
      <c r="F17" s="56"/>
      <c r="G17" s="56" t="str">
        <f>IF(ISBLANK(Acciones!$H17)=TRUE," ",WEEKNUM(Acciones!$H17,21))</f>
        <v xml:space="preserve"> </v>
      </c>
      <c r="H17" s="54"/>
      <c r="I17" s="54"/>
      <c r="J17" s="54"/>
      <c r="K17" s="47" t="str">
        <f ca="1">IF(AND(ISBLANK(Acciones!$D17)=FALSE,ISBLANK(Acciones!$H17)=TRUE),"Faltan fechas",IF(Acciones!$H17="","",IF(AND(Acciones!$H17&gt;=TODAY(),ISBLANK(Acciones!$J17)=TRUE),"En tiempo",IF(AND(Acciones!$H17&lt;TODAY(),Acciones!$J17=""),"Retrasado",IF(Acciones!$J17&gt;Acciones!$H17,"Cerrado con retraso","Cerrado")))))</f>
        <v/>
      </c>
      <c r="L17" s="55"/>
      <c r="M17" s="73"/>
      <c r="T17" s="23">
        <v>44406.636053240742</v>
      </c>
      <c r="U17" s="24" t="s">
        <v>84</v>
      </c>
    </row>
    <row r="18" spans="2:21" s="3" customFormat="1" ht="15" customHeight="1" x14ac:dyDescent="0.3">
      <c r="B18" s="53"/>
      <c r="C18" s="57"/>
      <c r="D18" s="62"/>
      <c r="E18" s="56"/>
      <c r="F18" s="56"/>
      <c r="G18" s="56" t="str">
        <f>IF(ISBLANK(Acciones!$H18)=TRUE," ",WEEKNUM(Acciones!$H18,21))</f>
        <v xml:space="preserve"> </v>
      </c>
      <c r="H18" s="54"/>
      <c r="I18" s="54"/>
      <c r="J18" s="54"/>
      <c r="K18" s="47" t="str">
        <f ca="1">IF(AND(ISBLANK(Acciones!$D18)=FALSE,ISBLANK(Acciones!$H18)=TRUE),"Faltan fechas",IF(Acciones!$H18="","",IF(AND(Acciones!$H18&gt;=TODAY(),ISBLANK(Acciones!$J18)=TRUE),"En tiempo",IF(AND(Acciones!$H18&lt;TODAY(),Acciones!$J18=""),"Retrasado",IF(Acciones!$J18&gt;Acciones!$H18,"Cerrado con retraso","Cerrado")))))</f>
        <v/>
      </c>
      <c r="L18" s="55"/>
      <c r="M18" s="73"/>
      <c r="T18" s="24"/>
      <c r="U18" s="24"/>
    </row>
    <row r="19" spans="2:21" s="3" customFormat="1" ht="15" customHeight="1" x14ac:dyDescent="0.3">
      <c r="B19" s="53"/>
      <c r="C19" s="57"/>
      <c r="D19" s="62"/>
      <c r="E19" s="56"/>
      <c r="F19" s="60"/>
      <c r="G19" s="60" t="str">
        <f>IF(ISBLANK(Acciones!$H19)=TRUE," ",WEEKNUM(Acciones!$H19,21))</f>
        <v xml:space="preserve"> </v>
      </c>
      <c r="H19" s="54"/>
      <c r="I19" s="54"/>
      <c r="J19" s="54"/>
      <c r="K19" s="47" t="str">
        <f ca="1">IF(AND(ISBLANK(Acciones!$D19)=FALSE,ISBLANK(Acciones!$H19)=TRUE),"Faltan fechas",IF(Acciones!$H19="","",IF(AND(Acciones!$H19&gt;=TODAY(),ISBLANK(Acciones!$J19)=TRUE),"En tiempo",IF(AND(Acciones!$H19&lt;TODAY(),Acciones!$J19=""),"Retrasado",IF(Acciones!$J19&gt;Acciones!$H19,"Cerrado con retraso","Cerrado")))))</f>
        <v/>
      </c>
      <c r="L19" s="55"/>
      <c r="M19" s="74"/>
      <c r="T19" s="24"/>
      <c r="U19" s="24"/>
    </row>
    <row r="20" spans="2:21" s="3" customFormat="1" ht="15" customHeight="1" x14ac:dyDescent="0.3">
      <c r="B20" s="53"/>
      <c r="C20" s="57"/>
      <c r="D20" s="62"/>
      <c r="E20" s="56"/>
      <c r="F20" s="60"/>
      <c r="G20" s="60" t="str">
        <f>IF(ISBLANK(Acciones!$H20)=TRUE," ",WEEKNUM(Acciones!$H20,21))</f>
        <v xml:space="preserve"> </v>
      </c>
      <c r="H20" s="54"/>
      <c r="I20" s="54"/>
      <c r="J20" s="54"/>
      <c r="K20" s="47" t="str">
        <f ca="1">IF(AND(ISBLANK(Acciones!$D20)=FALSE,ISBLANK(Acciones!$H20)=TRUE),"Faltan fechas",IF(Acciones!$H20="","",IF(AND(Acciones!$H20&gt;=TODAY(),ISBLANK(Acciones!$J20)=TRUE),"En tiempo",IF(AND(Acciones!$H20&lt;TODAY(),Acciones!$J20=""),"Retrasado",IF(Acciones!$J20&gt;Acciones!$H20,"Cerrado con retraso","Cerrado")))))</f>
        <v/>
      </c>
      <c r="L20" s="55"/>
      <c r="M20" s="74"/>
      <c r="T20" s="24"/>
      <c r="U20" s="24"/>
    </row>
    <row r="21" spans="2:21" s="3" customFormat="1" ht="15" customHeight="1" x14ac:dyDescent="0.3">
      <c r="B21" s="53"/>
      <c r="C21" s="57"/>
      <c r="D21" s="62"/>
      <c r="E21" s="56"/>
      <c r="F21" s="60"/>
      <c r="G21" s="60" t="str">
        <f>IF(ISBLANK(Acciones!$H21)=TRUE," ",WEEKNUM(Acciones!$H21,21))</f>
        <v xml:space="preserve"> </v>
      </c>
      <c r="H21" s="54"/>
      <c r="I21" s="54"/>
      <c r="J21" s="54"/>
      <c r="K21" s="47" t="str">
        <f ca="1">IF(AND(ISBLANK(Acciones!$D21)=FALSE,ISBLANK(Acciones!$H21)=TRUE),"Faltan fechas",IF(Acciones!$H21="","",IF(AND(Acciones!$H21&gt;=TODAY(),ISBLANK(Acciones!$J21)=TRUE),"En tiempo",IF(AND(Acciones!$H21&lt;TODAY(),Acciones!$J21=""),"Retrasado",IF(Acciones!$J21&gt;Acciones!$H21,"Cerrado con retraso","Cerrado")))))</f>
        <v/>
      </c>
      <c r="L21" s="55"/>
      <c r="M21" s="74"/>
      <c r="T21" s="24"/>
      <c r="U21" s="24"/>
    </row>
    <row r="22" spans="2:21" s="3" customFormat="1" ht="15" customHeight="1" x14ac:dyDescent="0.3">
      <c r="B22" s="53"/>
      <c r="C22" s="57"/>
      <c r="D22" s="62"/>
      <c r="E22" s="56"/>
      <c r="F22" s="60"/>
      <c r="G22" s="60" t="str">
        <f>IF(ISBLANK(Acciones!$H22)=TRUE," ",WEEKNUM(Acciones!$H22,21))</f>
        <v xml:space="preserve"> </v>
      </c>
      <c r="H22" s="54"/>
      <c r="I22" s="54"/>
      <c r="J22" s="54"/>
      <c r="K22" s="47" t="str">
        <f ca="1">IF(AND(ISBLANK(Acciones!$D22)=FALSE,ISBLANK(Acciones!$H22)=TRUE),"Faltan fechas",IF(Acciones!$H22="","",IF(AND(Acciones!$H22&gt;=TODAY(),ISBLANK(Acciones!$J22)=TRUE),"En tiempo",IF(AND(Acciones!$H22&lt;TODAY(),Acciones!$J22=""),"Retrasado",IF(Acciones!$J22&gt;Acciones!$H22,"Cerrado con retraso","Cerrado")))))</f>
        <v/>
      </c>
      <c r="L22" s="55"/>
      <c r="M22" s="74"/>
      <c r="T22" s="24"/>
      <c r="U22" s="24"/>
    </row>
    <row r="23" spans="2:21" s="3" customFormat="1" ht="15" customHeight="1" x14ac:dyDescent="0.3">
      <c r="B23" s="53"/>
      <c r="C23" s="57"/>
      <c r="D23" s="61"/>
      <c r="E23" s="56"/>
      <c r="F23" s="53"/>
      <c r="G23" s="53" t="str">
        <f>IF(ISBLANK(Acciones!$H23)=TRUE," ",WEEKNUM(Acciones!$H23,21))</f>
        <v xml:space="preserve"> </v>
      </c>
      <c r="H23" s="54"/>
      <c r="I23" s="54"/>
      <c r="J23" s="54"/>
      <c r="K23" s="47" t="str">
        <f ca="1">IF(AND(ISBLANK(Acciones!$D23)=FALSE,ISBLANK(Acciones!$H23)=TRUE),"Faltan fechas",IF(Acciones!$H23="","",IF(AND(Acciones!$H23&gt;=TODAY(),ISBLANK(Acciones!$J23)=TRUE),"En tiempo",IF(AND(Acciones!$H23&lt;TODAY(),Acciones!$J23=""),"Retrasado",IF(Acciones!$J23&gt;Acciones!$H23,"Cerrado con retraso","Cerrado")))))</f>
        <v/>
      </c>
      <c r="L23" s="61"/>
      <c r="M23" s="74"/>
      <c r="T23" s="24"/>
      <c r="U23" s="24"/>
    </row>
    <row r="24" spans="2:21" s="3" customFormat="1" ht="15" customHeight="1" x14ac:dyDescent="0.3">
      <c r="B24" s="53"/>
      <c r="C24" s="57"/>
      <c r="D24" s="62"/>
      <c r="E24" s="56"/>
      <c r="F24" s="56"/>
      <c r="G24" s="56" t="str">
        <f>IF(ISBLANK(Acciones!$H24)=TRUE," ",WEEKNUM(Acciones!$H24,21))</f>
        <v xml:space="preserve"> </v>
      </c>
      <c r="H24" s="54"/>
      <c r="I24" s="54"/>
      <c r="J24" s="54"/>
      <c r="K24" s="47" t="str">
        <f ca="1">IF(AND(ISBLANK(Acciones!$D24)=FALSE,ISBLANK(Acciones!$H24)=TRUE),"Faltan fechas",IF(Acciones!$H24="","",IF(AND(Acciones!$H24&gt;=TODAY(),ISBLANK(Acciones!$J24)=TRUE),"En tiempo",IF(AND(Acciones!$H24&lt;TODAY(),Acciones!$J24=""),"Retrasado",IF(Acciones!$J24&gt;Acciones!$H24,"Cerrado con retraso","Cerrado")))))</f>
        <v/>
      </c>
      <c r="L24" s="55"/>
      <c r="M24" s="73"/>
      <c r="T24" s="24"/>
      <c r="U24" s="24"/>
    </row>
    <row r="25" spans="2:21" s="3" customFormat="1" ht="15" customHeight="1" x14ac:dyDescent="0.3">
      <c r="B25" s="53"/>
      <c r="C25" s="57"/>
      <c r="D25" s="55"/>
      <c r="E25" s="56"/>
      <c r="F25" s="56"/>
      <c r="G25" s="56" t="str">
        <f>IF(ISBLANK(Acciones!$H25)=TRUE," ",WEEKNUM(Acciones!$H25,21))</f>
        <v xml:space="preserve"> </v>
      </c>
      <c r="H25" s="54"/>
      <c r="I25" s="54"/>
      <c r="J25" s="54"/>
      <c r="K25" s="47" t="str">
        <f ca="1">IF(AND(ISBLANK(Acciones!$D25)=FALSE,ISBLANK(Acciones!$H25)=TRUE),"Faltan fechas",IF(Acciones!$H25="","",IF(AND(Acciones!$H25&gt;=TODAY(),ISBLANK(Acciones!$J25)=TRUE),"En tiempo",IF(AND(Acciones!$H25&lt;TODAY(),Acciones!$J25=""),"Retrasado",IF(Acciones!$J25&gt;Acciones!$H25,"Cerrado con retraso","Cerrado")))))</f>
        <v/>
      </c>
      <c r="L25" s="55"/>
      <c r="M25" s="73"/>
      <c r="T25" s="24"/>
      <c r="U25" s="24"/>
    </row>
    <row r="26" spans="2:21" s="3" customFormat="1" ht="15" customHeight="1" x14ac:dyDescent="0.3">
      <c r="B26" s="53"/>
      <c r="C26" s="57"/>
      <c r="D26" s="61"/>
      <c r="E26" s="56"/>
      <c r="F26" s="53"/>
      <c r="G26" s="53" t="str">
        <f>IF(ISBLANK(Acciones!$H26)=TRUE," ",WEEKNUM(Acciones!$H26,21))</f>
        <v xml:space="preserve"> </v>
      </c>
      <c r="H26" s="59"/>
      <c r="I26" s="59"/>
      <c r="J26" s="59"/>
      <c r="K26" s="47" t="str">
        <f ca="1">IF(AND(ISBLANK(Acciones!$D26)=FALSE,ISBLANK(Acciones!$H26)=TRUE),"Faltan fechas",IF(Acciones!$H26="","",IF(AND(Acciones!$H26&gt;=TODAY(),ISBLANK(Acciones!$J26)=TRUE),"En tiempo",IF(AND(Acciones!$H26&lt;TODAY(),Acciones!$J26=""),"Retrasado",IF(Acciones!$J26&gt;Acciones!$H26,"Cerrado con retraso","Cerrado")))))</f>
        <v/>
      </c>
      <c r="L26" s="61"/>
      <c r="M26" s="74"/>
      <c r="T26" s="24"/>
      <c r="U26" s="24"/>
    </row>
    <row r="27" spans="2:21" s="4" customFormat="1" ht="15" customHeight="1" x14ac:dyDescent="0.3">
      <c r="B27" s="53"/>
      <c r="C27" s="57"/>
      <c r="D27" s="61"/>
      <c r="E27" s="56"/>
      <c r="F27" s="53"/>
      <c r="G27" s="53" t="str">
        <f>IF(ISBLANK(Acciones!$H27)=TRUE," ",WEEKNUM(Acciones!$H27,21))</f>
        <v xml:space="preserve"> </v>
      </c>
      <c r="H27" s="54"/>
      <c r="I27" s="54"/>
      <c r="J27" s="54"/>
      <c r="K27" s="47" t="str">
        <f ca="1">IF(AND(ISBLANK(Acciones!$D27)=FALSE,ISBLANK(Acciones!$H27)=TRUE),"Faltan fechas",IF(Acciones!$H27="","",IF(AND(Acciones!$H27&gt;=TODAY(),ISBLANK(Acciones!$J27)=TRUE),"En tiempo",IF(AND(Acciones!$H27&lt;TODAY(),Acciones!$J27=""),"Retrasado",IF(Acciones!$J27&gt;Acciones!$H27,"Cerrado con retraso","Cerrado")))))</f>
        <v/>
      </c>
      <c r="L27" s="61"/>
      <c r="M27" s="74"/>
      <c r="T27" s="25"/>
      <c r="U27" s="25"/>
    </row>
    <row r="28" spans="2:21" s="4" customFormat="1" ht="15" customHeight="1" x14ac:dyDescent="0.3">
      <c r="B28" s="53"/>
      <c r="C28" s="57"/>
      <c r="D28" s="61"/>
      <c r="E28" s="56"/>
      <c r="F28" s="53"/>
      <c r="G28" s="53" t="str">
        <f>IF(ISBLANK(Acciones!$H28)=TRUE," ",WEEKNUM(Acciones!$H28,21))</f>
        <v xml:space="preserve"> </v>
      </c>
      <c r="H28" s="54"/>
      <c r="I28" s="54"/>
      <c r="J28" s="54"/>
      <c r="K28" s="47" t="str">
        <f ca="1">IF(AND(ISBLANK(Acciones!$D28)=FALSE,ISBLANK(Acciones!$H28)=TRUE),"Faltan fechas",IF(Acciones!$H28="","",IF(AND(Acciones!$H28&gt;=TODAY(),ISBLANK(Acciones!$J28)=TRUE),"En tiempo",IF(AND(Acciones!$H28&lt;TODAY(),Acciones!$J28=""),"Retrasado",IF(Acciones!$J28&gt;Acciones!$H28,"Cerrado con retraso","Cerrado")))))</f>
        <v/>
      </c>
      <c r="L28" s="61"/>
      <c r="M28" s="74"/>
      <c r="T28" s="25"/>
      <c r="U28" s="25"/>
    </row>
    <row r="29" spans="2:21" s="4" customFormat="1" ht="15" customHeight="1" x14ac:dyDescent="0.3">
      <c r="B29" s="53"/>
      <c r="C29" s="57"/>
      <c r="D29" s="61"/>
      <c r="E29" s="56"/>
      <c r="F29" s="53"/>
      <c r="G29" s="53" t="str">
        <f>IF(ISBLANK(Acciones!$H29)=TRUE," ",WEEKNUM(Acciones!$H29,21))</f>
        <v xml:space="preserve"> </v>
      </c>
      <c r="H29" s="54"/>
      <c r="I29" s="54"/>
      <c r="J29" s="54"/>
      <c r="K29" s="47" t="str">
        <f ca="1">IF(AND(ISBLANK(Acciones!$D29)=FALSE,ISBLANK(Acciones!$H29)=TRUE),"Faltan fechas",IF(Acciones!$H29="","",IF(AND(Acciones!$H29&gt;=TODAY(),ISBLANK(Acciones!$J29)=TRUE),"En tiempo",IF(AND(Acciones!$H29&lt;TODAY(),Acciones!$J29=""),"Retrasado",IF(Acciones!$J29&gt;Acciones!$H29,"Cerrado con retraso","Cerrado")))))</f>
        <v/>
      </c>
      <c r="L29" s="61"/>
      <c r="M29" s="74"/>
      <c r="T29" s="25"/>
      <c r="U29" s="25"/>
    </row>
    <row r="30" spans="2:21" s="4" customFormat="1" ht="15" customHeight="1" x14ac:dyDescent="0.3">
      <c r="B30" s="53"/>
      <c r="C30" s="57"/>
      <c r="D30" s="61"/>
      <c r="E30" s="56"/>
      <c r="F30" s="53"/>
      <c r="G30" s="53" t="str">
        <f>IF(ISBLANK(Acciones!$H30)=TRUE," ",WEEKNUM(Acciones!$H30,21))</f>
        <v xml:space="preserve"> </v>
      </c>
      <c r="H30" s="54"/>
      <c r="I30" s="54"/>
      <c r="J30" s="54"/>
      <c r="K30" s="47" t="str">
        <f ca="1">IF(AND(ISBLANK(Acciones!$D30)=FALSE,ISBLANK(Acciones!$H30)=TRUE),"Faltan fechas",IF(Acciones!$H30="","",IF(AND(Acciones!$H30&gt;=TODAY(),ISBLANK(Acciones!$J30)=TRUE),"En tiempo",IF(AND(Acciones!$H30&lt;TODAY(),Acciones!$J30=""),"Retrasado",IF(Acciones!$J30&gt;Acciones!$H30,"Cerrado con retraso","Cerrado")))))</f>
        <v/>
      </c>
      <c r="L30" s="61"/>
      <c r="M30" s="74"/>
      <c r="T30" s="25"/>
      <c r="U30" s="25"/>
    </row>
    <row r="31" spans="2:21" s="4" customFormat="1" ht="15" customHeight="1" x14ac:dyDescent="0.3">
      <c r="B31" s="53"/>
      <c r="C31" s="57"/>
      <c r="D31" s="62"/>
      <c r="E31" s="53"/>
      <c r="F31" s="56"/>
      <c r="G31" s="56" t="str">
        <f>IF(ISBLANK(Acciones!$H31)=TRUE," ",WEEKNUM(Acciones!$H31,21))</f>
        <v xml:space="preserve"> </v>
      </c>
      <c r="H31" s="54"/>
      <c r="I31" s="54"/>
      <c r="J31" s="54"/>
      <c r="K31" s="47" t="str">
        <f ca="1">IF(AND(ISBLANK(Acciones!$D31)=FALSE,ISBLANK(Acciones!$H31)=TRUE),"Faltan fechas",IF(Acciones!$H31="","",IF(AND(Acciones!$H31&gt;=TODAY(),ISBLANK(Acciones!$J31)=TRUE),"En tiempo",IF(AND(Acciones!$H31&lt;TODAY(),Acciones!$J31=""),"Retrasado",IF(Acciones!$J31&gt;Acciones!$H31,"Cerrado con retraso","Cerrado")))))</f>
        <v/>
      </c>
      <c r="L31" s="55"/>
      <c r="M31" s="74"/>
      <c r="T31" s="25"/>
      <c r="U31" s="25"/>
    </row>
    <row r="32" spans="2:21" s="4" customFormat="1" ht="15" customHeight="1" x14ac:dyDescent="0.3">
      <c r="B32" s="53"/>
      <c r="C32" s="57"/>
      <c r="D32" s="61"/>
      <c r="E32" s="56"/>
      <c r="F32" s="53"/>
      <c r="G32" s="53" t="str">
        <f>IF(ISBLANK(Acciones!$H32)=TRUE," ",WEEKNUM(Acciones!$H32,21))</f>
        <v xml:space="preserve"> </v>
      </c>
      <c r="H32" s="54"/>
      <c r="I32" s="54"/>
      <c r="J32" s="54"/>
      <c r="K32" s="47" t="str">
        <f ca="1">IF(AND(ISBLANK(Acciones!$D32)=FALSE,ISBLANK(Acciones!$H32)=TRUE),"Faltan fechas",IF(Acciones!$H32="","",IF(AND(Acciones!$H32&gt;=TODAY(),ISBLANK(Acciones!$J32)=TRUE),"En tiempo",IF(AND(Acciones!$H32&lt;TODAY(),Acciones!$J32=""),"Retrasado",IF(Acciones!$J32&gt;Acciones!$H32,"Cerrado con retraso","Cerrado")))))</f>
        <v/>
      </c>
      <c r="L32" s="61"/>
      <c r="M32" s="74"/>
      <c r="T32" s="25"/>
      <c r="U32" s="25"/>
    </row>
    <row r="33" spans="2:21" s="4" customFormat="1" ht="15" customHeight="1" x14ac:dyDescent="0.3">
      <c r="B33" s="53"/>
      <c r="C33" s="57"/>
      <c r="D33" s="61"/>
      <c r="E33" s="56"/>
      <c r="F33" s="53"/>
      <c r="G33" s="53" t="str">
        <f>IF(ISBLANK(Acciones!$H33)=TRUE," ",WEEKNUM(Acciones!$H33,21))</f>
        <v xml:space="preserve"> </v>
      </c>
      <c r="H33" s="59"/>
      <c r="I33" s="59"/>
      <c r="J33" s="59"/>
      <c r="K33" s="47" t="str">
        <f ca="1">IF(AND(ISBLANK(Acciones!$D33)=FALSE,ISBLANK(Acciones!$H33)=TRUE),"Faltan fechas",IF(Acciones!$H33="","",IF(AND(Acciones!$H33&gt;=TODAY(),ISBLANK(Acciones!$J33)=TRUE),"En tiempo",IF(AND(Acciones!$H33&lt;TODAY(),Acciones!$J33=""),"Retrasado",IF(Acciones!$J33&gt;Acciones!$H33,"Cerrado con retraso","Cerrado")))))</f>
        <v/>
      </c>
      <c r="L33" s="61"/>
      <c r="M33" s="74"/>
      <c r="T33" s="25"/>
      <c r="U33" s="25"/>
    </row>
    <row r="34" spans="2:21" s="4" customFormat="1" ht="15" customHeight="1" x14ac:dyDescent="0.3">
      <c r="B34" s="53"/>
      <c r="C34" s="57"/>
      <c r="D34" s="61"/>
      <c r="E34" s="56"/>
      <c r="F34" s="53"/>
      <c r="G34" s="53" t="str">
        <f>IF(ISBLANK(Acciones!$H34)=TRUE," ",WEEKNUM(Acciones!$H34,21))</f>
        <v xml:space="preserve"> </v>
      </c>
      <c r="H34" s="54"/>
      <c r="I34" s="54"/>
      <c r="J34" s="54"/>
      <c r="K34" s="47" t="str">
        <f ca="1">IF(AND(ISBLANK(Acciones!$D34)=FALSE,ISBLANK(Acciones!$H34)=TRUE),"Faltan fechas",IF(Acciones!$H34="","",IF(AND(Acciones!$H34&gt;=TODAY(),ISBLANK(Acciones!$J34)=TRUE),"En tiempo",IF(AND(Acciones!$H34&lt;TODAY(),Acciones!$J34=""),"Retrasado",IF(Acciones!$J34&gt;Acciones!$H34,"Cerrado con retraso","Cerrado")))))</f>
        <v/>
      </c>
      <c r="L34" s="61"/>
      <c r="M34" s="74"/>
      <c r="T34" s="25"/>
      <c r="U34" s="25"/>
    </row>
    <row r="35" spans="2:21" s="4" customFormat="1" ht="15" customHeight="1" x14ac:dyDescent="0.3">
      <c r="B35" s="53"/>
      <c r="C35" s="57"/>
      <c r="D35" s="61"/>
      <c r="E35" s="56"/>
      <c r="F35" s="53"/>
      <c r="G35" s="53" t="str">
        <f>IF(ISBLANK(Acciones!$H35)=TRUE," ",WEEKNUM(Acciones!$H35,21))</f>
        <v xml:space="preserve"> </v>
      </c>
      <c r="H35" s="59"/>
      <c r="I35" s="59"/>
      <c r="J35" s="54"/>
      <c r="K35" s="47" t="str">
        <f ca="1">IF(AND(ISBLANK(Acciones!$D35)=FALSE,ISBLANK(Acciones!$H35)=TRUE),"Faltan fechas",IF(Acciones!$H35="","",IF(AND(Acciones!$H35&gt;=TODAY(),ISBLANK(Acciones!$J35)=TRUE),"En tiempo",IF(AND(Acciones!$H35&lt;TODAY(),Acciones!$J35=""),"Retrasado",IF(Acciones!$J35&gt;Acciones!$H35,"Cerrado con retraso","Cerrado")))))</f>
        <v/>
      </c>
      <c r="L35" s="61"/>
      <c r="M35" s="74"/>
      <c r="T35" s="25"/>
      <c r="U35" s="25"/>
    </row>
    <row r="36" spans="2:21" s="4" customFormat="1" ht="15" customHeight="1" x14ac:dyDescent="0.3">
      <c r="B36" s="53"/>
      <c r="C36" s="57"/>
      <c r="D36" s="61"/>
      <c r="E36" s="56"/>
      <c r="F36" s="53"/>
      <c r="G36" s="53" t="str">
        <f>IF(ISBLANK(Acciones!$H36)=TRUE," ",WEEKNUM(Acciones!$H36,21))</f>
        <v xml:space="preserve"> </v>
      </c>
      <c r="H36" s="59"/>
      <c r="I36" s="59"/>
      <c r="J36" s="59"/>
      <c r="K36" s="47" t="str">
        <f ca="1">IF(AND(ISBLANK(Acciones!$D36)=FALSE,ISBLANK(Acciones!$H36)=TRUE),"Faltan fechas",IF(Acciones!$H36="","",IF(AND(Acciones!$H36&gt;=TODAY(),ISBLANK(Acciones!$J36)=TRUE),"En tiempo",IF(AND(Acciones!$H36&lt;TODAY(),Acciones!$J36=""),"Retrasado",IF(Acciones!$J36&gt;Acciones!$H36,"Cerrado con retraso","Cerrado")))))</f>
        <v/>
      </c>
      <c r="L36" s="61"/>
      <c r="M36" s="74"/>
      <c r="T36" s="25"/>
      <c r="U36" s="25"/>
    </row>
    <row r="37" spans="2:21" s="4" customFormat="1" ht="15" customHeight="1" x14ac:dyDescent="0.3">
      <c r="B37" s="53"/>
      <c r="C37" s="57"/>
      <c r="D37" s="61"/>
      <c r="E37" s="56"/>
      <c r="F37" s="53"/>
      <c r="G37" s="53" t="str">
        <f>IF(ISBLANK(Acciones!$H37)=TRUE," ",WEEKNUM(Acciones!$H37,21))</f>
        <v xml:space="preserve"> </v>
      </c>
      <c r="H37" s="59"/>
      <c r="I37" s="59"/>
      <c r="J37" s="59"/>
      <c r="K37" s="47" t="str">
        <f ca="1">IF(AND(ISBLANK(Acciones!$D37)=FALSE,ISBLANK(Acciones!$H37)=TRUE),"Faltan fechas",IF(Acciones!$H37="","",IF(AND(Acciones!$H37&gt;=TODAY(),ISBLANK(Acciones!$J37)=TRUE),"En tiempo",IF(AND(Acciones!$H37&lt;TODAY(),Acciones!$J37=""),"Retrasado",IF(Acciones!$J37&gt;Acciones!$H37,"Cerrado con retraso","Cerrado")))))</f>
        <v/>
      </c>
      <c r="L37" s="61"/>
      <c r="M37" s="74"/>
      <c r="T37" s="25"/>
      <c r="U37" s="25"/>
    </row>
    <row r="38" spans="2:21" s="4" customFormat="1" ht="15" customHeight="1" x14ac:dyDescent="0.3">
      <c r="B38" s="53"/>
      <c r="C38" s="57"/>
      <c r="D38" s="61"/>
      <c r="E38" s="56"/>
      <c r="F38" s="53"/>
      <c r="G38" s="53" t="str">
        <f>IF(ISBLANK(Acciones!$H38)=TRUE," ",WEEKNUM(Acciones!$H38,21))</f>
        <v xml:space="preserve"> </v>
      </c>
      <c r="H38" s="59"/>
      <c r="I38" s="59"/>
      <c r="J38" s="59"/>
      <c r="K38" s="47" t="str">
        <f ca="1">IF(AND(ISBLANK(Acciones!$D38)=FALSE,ISBLANK(Acciones!$H38)=TRUE),"Faltan fechas",IF(Acciones!$H38="","",IF(AND(Acciones!$H38&gt;=TODAY(),ISBLANK(Acciones!$J38)=TRUE),"En tiempo",IF(AND(Acciones!$H38&lt;TODAY(),Acciones!$J38=""),"Retrasado",IF(Acciones!$J38&gt;Acciones!$H38,"Cerrado con retraso","Cerrado")))))</f>
        <v/>
      </c>
      <c r="L38" s="61"/>
      <c r="M38" s="74"/>
      <c r="T38" s="25"/>
      <c r="U38" s="25"/>
    </row>
    <row r="39" spans="2:21" s="4" customFormat="1" ht="15" customHeight="1" x14ac:dyDescent="0.3">
      <c r="B39" s="53"/>
      <c r="C39" s="57"/>
      <c r="D39" s="55"/>
      <c r="E39" s="56"/>
      <c r="F39" s="56"/>
      <c r="G39" s="56" t="str">
        <f>IF(ISBLANK(Acciones!$H39)=TRUE," ",WEEKNUM(Acciones!$H39,21))</f>
        <v xml:space="preserve"> </v>
      </c>
      <c r="H39" s="54"/>
      <c r="I39" s="54"/>
      <c r="J39" s="54"/>
      <c r="K39" s="47" t="str">
        <f ca="1">IF(AND(ISBLANK(Acciones!$D39)=FALSE,ISBLANK(Acciones!$H39)=TRUE),"Faltan fechas",IF(Acciones!$H39="","",IF(AND(Acciones!$H39&gt;=TODAY(),ISBLANK(Acciones!$J39)=TRUE),"En tiempo",IF(AND(Acciones!$H39&lt;TODAY(),Acciones!$J39=""),"Retrasado",IF(Acciones!$J39&gt;Acciones!$H39,"Cerrado con retraso","Cerrado")))))</f>
        <v/>
      </c>
      <c r="L39" s="55"/>
      <c r="M39" s="73"/>
      <c r="T39" s="25"/>
      <c r="U39" s="25"/>
    </row>
    <row r="40" spans="2:21" s="4" customFormat="1" ht="15" customHeight="1" x14ac:dyDescent="0.3">
      <c r="B40" s="53"/>
      <c r="C40" s="57"/>
      <c r="D40" s="61"/>
      <c r="E40" s="56"/>
      <c r="F40" s="53"/>
      <c r="G40" s="53" t="str">
        <f>IF(ISBLANK(Acciones!$H40)=TRUE," ",WEEKNUM(Acciones!$H40,21))</f>
        <v xml:space="preserve"> </v>
      </c>
      <c r="H40" s="59"/>
      <c r="I40" s="59"/>
      <c r="J40" s="59"/>
      <c r="K40" s="47" t="str">
        <f ca="1">IF(AND(ISBLANK(Acciones!$D40)=FALSE,ISBLANK(Acciones!$H40)=TRUE),"Faltan fechas",IF(Acciones!$H40="","",IF(AND(Acciones!$H40&gt;=TODAY(),ISBLANK(Acciones!$J40)=TRUE),"En tiempo",IF(AND(Acciones!$H40&lt;TODAY(),Acciones!$J40=""),"Retrasado",IF(Acciones!$J40&gt;Acciones!$H40,"Cerrado con retraso","Cerrado")))))</f>
        <v/>
      </c>
      <c r="L40" s="61"/>
      <c r="M40" s="74"/>
      <c r="T40" s="25"/>
      <c r="U40" s="25"/>
    </row>
    <row r="41" spans="2:21" s="4" customFormat="1" ht="15" customHeight="1" x14ac:dyDescent="0.3">
      <c r="B41" s="53"/>
      <c r="C41" s="57"/>
      <c r="D41" s="61"/>
      <c r="E41" s="56"/>
      <c r="F41" s="53"/>
      <c r="G41" s="53" t="str">
        <f>IF(ISBLANK(Acciones!$H41)=TRUE," ",WEEKNUM(Acciones!$H41,21))</f>
        <v xml:space="preserve"> </v>
      </c>
      <c r="H41" s="59"/>
      <c r="I41" s="59"/>
      <c r="J41" s="59"/>
      <c r="K41" s="47" t="str">
        <f ca="1">IF(AND(ISBLANK(Acciones!$D41)=FALSE,ISBLANK(Acciones!$H41)=TRUE),"Faltan fechas",IF(Acciones!$H41="","",IF(AND(Acciones!$H41&gt;=TODAY(),ISBLANK(Acciones!$J41)=TRUE),"En tiempo",IF(AND(Acciones!$H41&lt;TODAY(),Acciones!$J41=""),"Retrasado",IF(Acciones!$J41&gt;Acciones!$H41,"Cerrado con retraso","Cerrado")))))</f>
        <v/>
      </c>
      <c r="L41" s="61"/>
      <c r="M41" s="74"/>
      <c r="T41" s="25"/>
      <c r="U41" s="25"/>
    </row>
    <row r="42" spans="2:21" s="4" customFormat="1" ht="15" customHeight="1" x14ac:dyDescent="0.3">
      <c r="B42" s="53"/>
      <c r="C42" s="57"/>
      <c r="D42" s="61"/>
      <c r="E42" s="56"/>
      <c r="F42" s="56"/>
      <c r="G42" s="56" t="str">
        <f>IF(ISBLANK(Acciones!$H42)=TRUE," ",WEEKNUM(Acciones!$H42,21))</f>
        <v xml:space="preserve"> </v>
      </c>
      <c r="H42" s="54"/>
      <c r="I42" s="54"/>
      <c r="J42" s="59"/>
      <c r="K42" s="47" t="str">
        <f ca="1">IF(AND(ISBLANK(Acciones!$D42)=FALSE,ISBLANK(Acciones!$H42)=TRUE),"Faltan fechas",IF(Acciones!$H42="","",IF(AND(Acciones!$H42&gt;=TODAY(),ISBLANK(Acciones!$J42)=TRUE),"En tiempo",IF(AND(Acciones!$H42&lt;TODAY(),Acciones!$J42=""),"Retrasado",IF(Acciones!$J42&gt;Acciones!$H42,"Cerrado con retraso","Cerrado")))))</f>
        <v/>
      </c>
      <c r="L42" s="61"/>
      <c r="M42" s="74"/>
      <c r="T42" s="25"/>
      <c r="U42" s="25"/>
    </row>
    <row r="43" spans="2:21" s="4" customFormat="1" ht="15" customHeight="1" x14ac:dyDescent="0.3">
      <c r="B43" s="53"/>
      <c r="C43" s="57"/>
      <c r="D43" s="62"/>
      <c r="E43" s="56"/>
      <c r="F43" s="56"/>
      <c r="G43" s="56" t="str">
        <f>IF(ISBLANK(Acciones!$H43)=TRUE," ",WEEKNUM(Acciones!$H43,21))</f>
        <v xml:space="preserve"> </v>
      </c>
      <c r="H43" s="54"/>
      <c r="I43" s="54"/>
      <c r="J43" s="54"/>
      <c r="K43" s="47" t="str">
        <f ca="1">IF(AND(ISBLANK(Acciones!$D43)=FALSE,ISBLANK(Acciones!$H43)=TRUE),"Faltan fechas",IF(Acciones!$H43="","",IF(AND(Acciones!$H43&gt;=TODAY(),ISBLANK(Acciones!$J43)=TRUE),"En tiempo",IF(AND(Acciones!$H43&lt;TODAY(),Acciones!$J43=""),"Retrasado",IF(Acciones!$J43&gt;Acciones!$H43,"Cerrado con retraso","Cerrado")))))</f>
        <v/>
      </c>
      <c r="L43" s="62"/>
      <c r="M43" s="73"/>
      <c r="T43" s="25"/>
      <c r="U43" s="25"/>
    </row>
    <row r="44" spans="2:21" s="4" customFormat="1" ht="15" customHeight="1" x14ac:dyDescent="0.3">
      <c r="B44" s="53"/>
      <c r="C44" s="57"/>
      <c r="D44" s="61"/>
      <c r="E44" s="56"/>
      <c r="F44" s="53"/>
      <c r="G44" s="53" t="str">
        <f>IF(ISBLANK(Acciones!$H44)=TRUE," ",WEEKNUM(Acciones!$H44,21))</f>
        <v xml:space="preserve"> </v>
      </c>
      <c r="H44" s="59"/>
      <c r="I44" s="59"/>
      <c r="J44" s="59"/>
      <c r="K44" s="47" t="str">
        <f ca="1">IF(AND(ISBLANK(Acciones!$D44)=FALSE,ISBLANK(Acciones!$H44)=TRUE),"Faltan fechas",IF(Acciones!$H44="","",IF(AND(Acciones!$H44&gt;=TODAY(),ISBLANK(Acciones!$J44)=TRUE),"En tiempo",IF(AND(Acciones!$H44&lt;TODAY(),Acciones!$J44=""),"Retrasado",IF(Acciones!$J44&gt;Acciones!$H44,"Cerrado con retraso","Cerrado")))))</f>
        <v/>
      </c>
      <c r="L44" s="61"/>
      <c r="M44" s="74"/>
      <c r="T44" s="25"/>
      <c r="U44" s="25"/>
    </row>
    <row r="45" spans="2:21" s="4" customFormat="1" ht="15" customHeight="1" x14ac:dyDescent="0.3">
      <c r="B45" s="53"/>
      <c r="C45" s="57"/>
      <c r="D45" s="61"/>
      <c r="E45" s="56"/>
      <c r="F45" s="53"/>
      <c r="G45" s="53" t="str">
        <f>IF(ISBLANK(Acciones!$H45)=TRUE," ",WEEKNUM(Acciones!$H45,21))</f>
        <v xml:space="preserve"> </v>
      </c>
      <c r="H45" s="59"/>
      <c r="I45" s="59"/>
      <c r="J45" s="63"/>
      <c r="K45" s="47" t="str">
        <f ca="1">IF(AND(ISBLANK(Acciones!$D45)=FALSE,ISBLANK(Acciones!$H45)=TRUE),"Faltan fechas",IF(Acciones!$H45="","",IF(AND(Acciones!$H45&gt;=TODAY(),ISBLANK(Acciones!$J45)=TRUE),"En tiempo",IF(AND(Acciones!$H45&lt;TODAY(),Acciones!$J45=""),"Retrasado",IF(Acciones!$J45&gt;Acciones!$H45,"Cerrado con retraso","Cerrado")))))</f>
        <v/>
      </c>
      <c r="L45" s="61"/>
      <c r="M45" s="74"/>
      <c r="T45" s="25"/>
      <c r="U45" s="25"/>
    </row>
    <row r="46" spans="2:21" s="4" customFormat="1" ht="15" customHeight="1" x14ac:dyDescent="0.3">
      <c r="B46" s="53"/>
      <c r="C46" s="57"/>
      <c r="D46" s="61"/>
      <c r="E46" s="56"/>
      <c r="F46" s="53"/>
      <c r="G46" s="53" t="str">
        <f>IF(ISBLANK(Acciones!$H46)=TRUE," ",WEEKNUM(Acciones!$H46,21))</f>
        <v xml:space="preserve"> </v>
      </c>
      <c r="H46" s="59"/>
      <c r="I46" s="59"/>
      <c r="J46" s="59"/>
      <c r="K46" s="47" t="str">
        <f ca="1">IF(AND(ISBLANK(Acciones!$D46)=FALSE,ISBLANK(Acciones!$H46)=TRUE),"Faltan fechas",IF(Acciones!$H46="","",IF(AND(Acciones!$H46&gt;=TODAY(),ISBLANK(Acciones!$J46)=TRUE),"En tiempo",IF(AND(Acciones!$H46&lt;TODAY(),Acciones!$J46=""),"Retrasado",IF(Acciones!$J46&gt;Acciones!$H46,"Cerrado con retraso","Cerrado")))))</f>
        <v/>
      </c>
      <c r="L46" s="61"/>
      <c r="M46" s="74"/>
      <c r="T46" s="25"/>
      <c r="U46" s="25"/>
    </row>
    <row r="47" spans="2:21" s="4" customFormat="1" ht="15" customHeight="1" x14ac:dyDescent="0.3">
      <c r="B47" s="53"/>
      <c r="C47" s="57"/>
      <c r="D47" s="61"/>
      <c r="E47" s="56"/>
      <c r="F47" s="56"/>
      <c r="G47" s="56" t="str">
        <f>IF(ISBLANK(Acciones!$H47)=TRUE," ",WEEKNUM(Acciones!$H47,21))</f>
        <v xml:space="preserve"> </v>
      </c>
      <c r="H47" s="63"/>
      <c r="I47" s="63"/>
      <c r="J47" s="63"/>
      <c r="K47" s="47" t="str">
        <f ca="1">IF(AND(ISBLANK(Acciones!$D47)=FALSE,ISBLANK(Acciones!$H47)=TRUE),"Faltan fechas",IF(Acciones!$H47="","",IF(AND(Acciones!$H47&gt;=TODAY(),ISBLANK(Acciones!$J47)=TRUE),"En tiempo",IF(AND(Acciones!$H47&lt;TODAY(),Acciones!$J47=""),"Retrasado",IF(Acciones!$J47&gt;Acciones!$H47,"Cerrado con retraso","Cerrado")))))</f>
        <v/>
      </c>
      <c r="L47" s="61"/>
      <c r="M47" s="74"/>
      <c r="T47" s="25"/>
      <c r="U47" s="25"/>
    </row>
    <row r="48" spans="2:21" s="4" customFormat="1" ht="15" customHeight="1" x14ac:dyDescent="0.3">
      <c r="B48" s="53"/>
      <c r="C48" s="57"/>
      <c r="D48" s="61"/>
      <c r="E48" s="56"/>
      <c r="F48" s="53"/>
      <c r="G48" s="53" t="str">
        <f>IF(ISBLANK(Acciones!$H48)=TRUE," ",WEEKNUM(Acciones!$H48,21))</f>
        <v xml:space="preserve"> </v>
      </c>
      <c r="H48" s="59"/>
      <c r="I48" s="59"/>
      <c r="J48" s="59"/>
      <c r="K48" s="47" t="str">
        <f ca="1">IF(AND(ISBLANK(Acciones!$D48)=FALSE,ISBLANK(Acciones!$H48)=TRUE),"Faltan fechas",IF(Acciones!$H48="","",IF(AND(Acciones!$H48&gt;=TODAY(),ISBLANK(Acciones!$J48)=TRUE),"En tiempo",IF(AND(Acciones!$H48&lt;TODAY(),Acciones!$J48=""),"Retrasado",IF(Acciones!$J48&gt;Acciones!$H48,"Cerrado con retraso","Cerrado")))))</f>
        <v/>
      </c>
      <c r="L48" s="61"/>
      <c r="M48" s="74"/>
      <c r="T48" s="25"/>
      <c r="U48" s="25"/>
    </row>
    <row r="49" spans="2:21" s="4" customFormat="1" ht="15" customHeight="1" x14ac:dyDescent="0.3">
      <c r="B49" s="53"/>
      <c r="C49" s="57"/>
      <c r="D49" s="61"/>
      <c r="E49" s="56"/>
      <c r="F49" s="53"/>
      <c r="G49" s="53" t="str">
        <f>IF(ISBLANK(Acciones!$H49)=TRUE," ",WEEKNUM(Acciones!$H49,21))</f>
        <v xml:space="preserve"> </v>
      </c>
      <c r="H49" s="59"/>
      <c r="I49" s="59"/>
      <c r="J49" s="59"/>
      <c r="K49" s="47" t="str">
        <f ca="1">IF(AND(ISBLANK(Acciones!$D49)=FALSE,ISBLANK(Acciones!$H49)=TRUE),"Faltan fechas",IF(Acciones!$H49="","",IF(AND(Acciones!$H49&gt;=TODAY(),ISBLANK(Acciones!$J49)=TRUE),"En tiempo",IF(AND(Acciones!$H49&lt;TODAY(),Acciones!$J49=""),"Retrasado",IF(Acciones!$J49&gt;Acciones!$H49,"Cerrado con retraso","Cerrado")))))</f>
        <v/>
      </c>
      <c r="L49" s="61"/>
      <c r="M49" s="74"/>
      <c r="T49" s="25"/>
      <c r="U49" s="25"/>
    </row>
    <row r="50" spans="2:21" s="4" customFormat="1" ht="15" customHeight="1" x14ac:dyDescent="0.3">
      <c r="B50" s="53"/>
      <c r="C50" s="57"/>
      <c r="D50" s="61"/>
      <c r="E50" s="56"/>
      <c r="F50" s="53"/>
      <c r="G50" s="53" t="str">
        <f>IF(ISBLANK(Acciones!$H50)=TRUE," ",WEEKNUM(Acciones!$H50,21))</f>
        <v xml:space="preserve"> </v>
      </c>
      <c r="H50" s="59"/>
      <c r="I50" s="59"/>
      <c r="J50" s="59"/>
      <c r="K50" s="47" t="str">
        <f ca="1">IF(AND(ISBLANK(Acciones!$D50)=FALSE,ISBLANK(Acciones!$H50)=TRUE),"Faltan fechas",IF(Acciones!$H50="","",IF(AND(Acciones!$H50&gt;=TODAY(),ISBLANK(Acciones!$J50)=TRUE),"En tiempo",IF(AND(Acciones!$H50&lt;TODAY(),Acciones!$J50=""),"Retrasado",IF(Acciones!$J50&gt;Acciones!$H50,"Cerrado con retraso","Cerrado")))))</f>
        <v/>
      </c>
      <c r="L50" s="61"/>
      <c r="M50" s="74"/>
      <c r="T50" s="25"/>
      <c r="U50" s="25"/>
    </row>
    <row r="51" spans="2:21" s="4" customFormat="1" ht="15" customHeight="1" x14ac:dyDescent="0.3">
      <c r="B51" s="53"/>
      <c r="C51" s="57"/>
      <c r="D51" s="61"/>
      <c r="E51" s="56"/>
      <c r="F51" s="56"/>
      <c r="G51" s="56" t="str">
        <f>IF(ISBLANK(Acciones!$H51)=TRUE," ",WEEKNUM(Acciones!$H51,21))</f>
        <v xml:space="preserve"> </v>
      </c>
      <c r="H51" s="59"/>
      <c r="I51" s="59"/>
      <c r="J51" s="59"/>
      <c r="K51" s="47" t="str">
        <f ca="1">IF(AND(ISBLANK(Acciones!$D51)=FALSE,ISBLANK(Acciones!$H51)=TRUE),"Faltan fechas",IF(Acciones!$H51="","",IF(AND(Acciones!$H51&gt;=TODAY(),ISBLANK(Acciones!$J51)=TRUE),"En tiempo",IF(AND(Acciones!$H51&lt;TODAY(),Acciones!$J51=""),"Retrasado",IF(Acciones!$J51&gt;Acciones!$H51,"Cerrado con retraso","Cerrado")))))</f>
        <v/>
      </c>
      <c r="L51" s="61"/>
      <c r="M51" s="74"/>
      <c r="T51" s="25"/>
      <c r="U51" s="25"/>
    </row>
    <row r="52" spans="2:21" s="4" customFormat="1" ht="15" customHeight="1" x14ac:dyDescent="0.3">
      <c r="B52" s="53"/>
      <c r="C52" s="57"/>
      <c r="D52" s="62"/>
      <c r="E52" s="56"/>
      <c r="F52" s="56"/>
      <c r="G52" s="56" t="str">
        <f>IF(ISBLANK(Acciones!$H52)=TRUE," ",WEEKNUM(Acciones!$H52,21))</f>
        <v xml:space="preserve"> </v>
      </c>
      <c r="H52" s="54"/>
      <c r="I52" s="54"/>
      <c r="J52" s="54"/>
      <c r="K52" s="47" t="str">
        <f ca="1">IF(AND(ISBLANK(Acciones!$D52)=FALSE,ISBLANK(Acciones!$H52)=TRUE),"Faltan fechas",IF(Acciones!$H52="","",IF(AND(Acciones!$H52&gt;=TODAY(),ISBLANK(Acciones!$J52)=TRUE),"En tiempo",IF(AND(Acciones!$H52&lt;TODAY(),Acciones!$J52=""),"Retrasado",IF(Acciones!$J52&gt;Acciones!$H52,"Cerrado con retraso","Cerrado")))))</f>
        <v/>
      </c>
      <c r="L52" s="55"/>
      <c r="M52" s="73"/>
      <c r="T52" s="25"/>
      <c r="U52" s="25"/>
    </row>
    <row r="53" spans="2:21" s="4" customFormat="1" ht="15" customHeight="1" x14ac:dyDescent="0.3">
      <c r="B53" s="53"/>
      <c r="C53" s="57"/>
      <c r="D53" s="61"/>
      <c r="E53" s="56"/>
      <c r="F53" s="56"/>
      <c r="G53" s="56" t="str">
        <f>IF(ISBLANK(Acciones!$H53)=TRUE," ",WEEKNUM(Acciones!$H53,21))</f>
        <v xml:space="preserve"> </v>
      </c>
      <c r="H53" s="54"/>
      <c r="I53" s="54"/>
      <c r="J53" s="63"/>
      <c r="K53" s="47" t="str">
        <f ca="1">IF(AND(ISBLANK(Acciones!$D53)=FALSE,ISBLANK(Acciones!$H53)=TRUE),"Faltan fechas",IF(Acciones!$H53="","",IF(AND(Acciones!$H53&gt;=TODAY(),ISBLANK(Acciones!$J53)=TRUE),"En tiempo",IF(AND(Acciones!$H53&lt;TODAY(),Acciones!$J53=""),"Retrasado",IF(Acciones!$J53&gt;Acciones!$H53,"Cerrado con retraso","Cerrado")))))</f>
        <v/>
      </c>
      <c r="L53" s="61"/>
      <c r="M53" s="74"/>
      <c r="T53" s="25"/>
      <c r="U53" s="25"/>
    </row>
    <row r="54" spans="2:21" s="4" customFormat="1" ht="15" customHeight="1" x14ac:dyDescent="0.3">
      <c r="B54" s="53"/>
      <c r="C54" s="57"/>
      <c r="D54" s="61"/>
      <c r="E54" s="56"/>
      <c r="F54" s="56"/>
      <c r="G54" s="56" t="str">
        <f>IF(ISBLANK(Acciones!$H54)=TRUE," ",WEEKNUM(Acciones!$H54,21))</f>
        <v xml:space="preserve"> </v>
      </c>
      <c r="H54" s="54"/>
      <c r="I54" s="54"/>
      <c r="J54" s="54"/>
      <c r="K54" s="47" t="str">
        <f ca="1">IF(AND(ISBLANK(Acciones!$D54)=FALSE,ISBLANK(Acciones!$H54)=TRUE),"Faltan fechas",IF(Acciones!$H54="","",IF(AND(Acciones!$H54&gt;=TODAY(),ISBLANK(Acciones!$J54)=TRUE),"En tiempo",IF(AND(Acciones!$H54&lt;TODAY(),Acciones!$J54=""),"Retrasado",IF(Acciones!$J54&gt;Acciones!$H54,"Cerrado con retraso","Cerrado")))))</f>
        <v/>
      </c>
      <c r="L54" s="61"/>
      <c r="M54" s="74"/>
      <c r="T54" s="25"/>
      <c r="U54" s="25"/>
    </row>
    <row r="55" spans="2:21" s="4" customFormat="1" ht="15" customHeight="1" x14ac:dyDescent="0.3">
      <c r="B55" s="53"/>
      <c r="C55" s="57"/>
      <c r="D55" s="61"/>
      <c r="E55" s="56"/>
      <c r="F55" s="56"/>
      <c r="G55" s="56" t="str">
        <f>IF(ISBLANK(Acciones!$H55)=TRUE," ",WEEKNUM(Acciones!$H55,21))</f>
        <v xml:space="preserve"> </v>
      </c>
      <c r="H55" s="54"/>
      <c r="I55" s="54"/>
      <c r="J55" s="63"/>
      <c r="K55" s="47" t="str">
        <f ca="1">IF(AND(ISBLANK(Acciones!$D55)=FALSE,ISBLANK(Acciones!$H55)=TRUE),"Faltan fechas",IF(Acciones!$H55="","",IF(AND(Acciones!$H55&gt;=TODAY(),ISBLANK(Acciones!$J55)=TRUE),"En tiempo",IF(AND(Acciones!$H55&lt;TODAY(),Acciones!$J55=""),"Retrasado",IF(Acciones!$J55&gt;Acciones!$H55,"Cerrado con retraso","Cerrado")))))</f>
        <v/>
      </c>
      <c r="L55" s="61"/>
      <c r="M55" s="74"/>
      <c r="T55" s="25"/>
      <c r="U55" s="25"/>
    </row>
    <row r="56" spans="2:21" s="4" customFormat="1" ht="15" customHeight="1" x14ac:dyDescent="0.3">
      <c r="B56" s="53"/>
      <c r="C56" s="57"/>
      <c r="D56" s="61"/>
      <c r="E56" s="56"/>
      <c r="F56" s="56"/>
      <c r="G56" s="56" t="str">
        <f>IF(ISBLANK(Acciones!$H56)=TRUE," ",WEEKNUM(Acciones!$H56,21))</f>
        <v xml:space="preserve"> </v>
      </c>
      <c r="H56" s="54"/>
      <c r="I56" s="54"/>
      <c r="J56" s="63"/>
      <c r="K56" s="47" t="str">
        <f ca="1">IF(AND(ISBLANK(Acciones!$D56)=FALSE,ISBLANK(Acciones!$H56)=TRUE),"Faltan fechas",IF(Acciones!$H56="","",IF(AND(Acciones!$H56&gt;=TODAY(),ISBLANK(Acciones!$J56)=TRUE),"En tiempo",IF(AND(Acciones!$H56&lt;TODAY(),Acciones!$J56=""),"Retrasado",IF(Acciones!$J56&gt;Acciones!$H56,"Cerrado con retraso","Cerrado")))))</f>
        <v/>
      </c>
      <c r="L56" s="61"/>
      <c r="M56" s="74"/>
      <c r="T56" s="25"/>
      <c r="U56" s="25"/>
    </row>
    <row r="57" spans="2:21" s="4" customFormat="1" ht="15" customHeight="1" x14ac:dyDescent="0.3">
      <c r="B57" s="53"/>
      <c r="C57" s="57"/>
      <c r="D57" s="61"/>
      <c r="E57" s="56"/>
      <c r="F57" s="53"/>
      <c r="G57" s="53" t="str">
        <f>IF(ISBLANK(Acciones!$H57)=TRUE," ",WEEKNUM(Acciones!$H57,21))</f>
        <v xml:space="preserve"> </v>
      </c>
      <c r="H57" s="59"/>
      <c r="I57" s="59"/>
      <c r="J57" s="59"/>
      <c r="K57" s="47" t="str">
        <f ca="1">IF(AND(ISBLANK(Acciones!$D57)=FALSE,ISBLANK(Acciones!$H57)=TRUE),"Faltan fechas",IF(Acciones!$H57="","",IF(AND(Acciones!$H57&gt;=TODAY(),ISBLANK(Acciones!$J57)=TRUE),"En tiempo",IF(AND(Acciones!$H57&lt;TODAY(),Acciones!$J57=""),"Retrasado",IF(Acciones!$J57&gt;Acciones!$H57,"Cerrado con retraso","Cerrado")))))</f>
        <v/>
      </c>
      <c r="L57" s="61"/>
      <c r="M57" s="74"/>
      <c r="T57" s="25"/>
      <c r="U57" s="25"/>
    </row>
    <row r="58" spans="2:21" s="4" customFormat="1" ht="15" customHeight="1" x14ac:dyDescent="0.3">
      <c r="B58" s="53"/>
      <c r="C58" s="57"/>
      <c r="D58" s="61"/>
      <c r="E58" s="56"/>
      <c r="F58" s="53"/>
      <c r="G58" s="53" t="str">
        <f>IF(ISBLANK(Acciones!$H58)=TRUE," ",WEEKNUM(Acciones!$H58,21))</f>
        <v xml:space="preserve"> </v>
      </c>
      <c r="H58" s="59"/>
      <c r="I58" s="59"/>
      <c r="J58" s="53"/>
      <c r="K58" s="47" t="str">
        <f ca="1">IF(AND(ISBLANK(Acciones!$D58)=FALSE,ISBLANK(Acciones!$H58)=TRUE),"Faltan fechas",IF(Acciones!$H58="","",IF(AND(Acciones!$H58&gt;=TODAY(),ISBLANK(Acciones!$J58)=TRUE),"En tiempo",IF(AND(Acciones!$H58&lt;TODAY(),Acciones!$J58=""),"Retrasado",IF(Acciones!$J58&gt;Acciones!$H58,"Cerrado con retraso","Cerrado")))))</f>
        <v/>
      </c>
      <c r="L58" s="61"/>
      <c r="M58" s="74"/>
      <c r="T58" s="25"/>
      <c r="U58" s="25"/>
    </row>
    <row r="59" spans="2:21" s="4" customFormat="1" ht="15" customHeight="1" x14ac:dyDescent="0.3">
      <c r="B59" s="53"/>
      <c r="C59" s="57"/>
      <c r="D59" s="61"/>
      <c r="E59" s="56"/>
      <c r="F59" s="53"/>
      <c r="G59" s="53" t="str">
        <f>IF(ISBLANK(Acciones!$H59)=TRUE," ",WEEKNUM(Acciones!$H59,21))</f>
        <v xml:space="preserve"> </v>
      </c>
      <c r="H59" s="59"/>
      <c r="I59" s="59"/>
      <c r="J59" s="54"/>
      <c r="K59" s="47" t="str">
        <f ca="1">IF(AND(ISBLANK(Acciones!$D59)=FALSE,ISBLANK(Acciones!$H59)=TRUE),"Faltan fechas",IF(Acciones!$H59="","",IF(AND(Acciones!$H59&gt;=TODAY(),ISBLANK(Acciones!$J59)=TRUE),"En tiempo",IF(AND(Acciones!$H59&lt;TODAY(),Acciones!$J59=""),"Retrasado",IF(Acciones!$J59&gt;Acciones!$H59,"Cerrado con retraso","Cerrado")))))</f>
        <v/>
      </c>
      <c r="L59" s="61"/>
      <c r="M59" s="74"/>
      <c r="T59" s="25"/>
      <c r="U59" s="25"/>
    </row>
    <row r="60" spans="2:21" s="4" customFormat="1" ht="15" customHeight="1" x14ac:dyDescent="0.3">
      <c r="B60" s="53"/>
      <c r="C60" s="57"/>
      <c r="D60" s="61"/>
      <c r="E60" s="56"/>
      <c r="F60" s="53"/>
      <c r="G60" s="53" t="str">
        <f>IF(ISBLANK(Acciones!$H60)=TRUE," ",WEEKNUM(Acciones!$H60,21))</f>
        <v xml:space="preserve"> </v>
      </c>
      <c r="H60" s="59"/>
      <c r="I60" s="59"/>
      <c r="J60" s="59"/>
      <c r="K60" s="47" t="str">
        <f ca="1">IF(AND(ISBLANK(Acciones!$D60)=FALSE,ISBLANK(Acciones!$H60)=TRUE),"Faltan fechas",IF(Acciones!$H60="","",IF(AND(Acciones!$H60&gt;=TODAY(),ISBLANK(Acciones!$J60)=TRUE),"En tiempo",IF(AND(Acciones!$H60&lt;TODAY(),Acciones!$J60=""),"Retrasado",IF(Acciones!$J60&gt;Acciones!$H60,"Cerrado con retraso","Cerrado")))))</f>
        <v/>
      </c>
      <c r="L60" s="61"/>
      <c r="M60" s="74"/>
      <c r="T60" s="25"/>
      <c r="U60" s="25"/>
    </row>
    <row r="61" spans="2:21" s="4" customFormat="1" ht="15" customHeight="1" x14ac:dyDescent="0.3">
      <c r="B61" s="53"/>
      <c r="C61" s="57"/>
      <c r="D61" s="61"/>
      <c r="E61" s="56"/>
      <c r="F61" s="56"/>
      <c r="G61" s="56" t="str">
        <f>IF(ISBLANK(Acciones!$H61)=TRUE," ",WEEKNUM(Acciones!$H61,21))</f>
        <v xml:space="preserve"> </v>
      </c>
      <c r="H61" s="59"/>
      <c r="I61" s="59"/>
      <c r="J61" s="63"/>
      <c r="K61" s="47" t="str">
        <f ca="1">IF(AND(ISBLANK(Acciones!$D61)=FALSE,ISBLANK(Acciones!$H61)=TRUE),"Faltan fechas",IF(Acciones!$H61="","",IF(AND(Acciones!$H61&gt;=TODAY(),ISBLANK(Acciones!$J61)=TRUE),"En tiempo",IF(AND(Acciones!$H61&lt;TODAY(),Acciones!$J61=""),"Retrasado",IF(Acciones!$J61&gt;Acciones!$H61,"Cerrado con retraso","Cerrado")))))</f>
        <v/>
      </c>
      <c r="L61" s="61"/>
      <c r="M61" s="74"/>
      <c r="T61" s="25"/>
      <c r="U61" s="25"/>
    </row>
    <row r="62" spans="2:21" s="4" customFormat="1" ht="15" customHeight="1" x14ac:dyDescent="0.3">
      <c r="B62" s="53"/>
      <c r="C62" s="57"/>
      <c r="D62" s="61"/>
      <c r="E62" s="56"/>
      <c r="F62" s="53"/>
      <c r="G62" s="53" t="str">
        <f>IF(ISBLANK(Acciones!$H62)=TRUE," ",WEEKNUM(Acciones!$H62,21))</f>
        <v xml:space="preserve"> </v>
      </c>
      <c r="H62" s="54"/>
      <c r="I62" s="54"/>
      <c r="J62" s="54"/>
      <c r="K62" s="47" t="str">
        <f ca="1">IF(AND(ISBLANK(Acciones!$D62)=FALSE,ISBLANK(Acciones!$H62)=TRUE),"Faltan fechas",IF(Acciones!$H62="","",IF(AND(Acciones!$H62&gt;=TODAY(),ISBLANK(Acciones!$J62)=TRUE),"En tiempo",IF(AND(Acciones!$H62&lt;TODAY(),Acciones!$J62=""),"Retrasado",IF(Acciones!$J62&gt;Acciones!$H62,"Cerrado con retraso","Cerrado")))))</f>
        <v/>
      </c>
      <c r="L62" s="61"/>
      <c r="M62" s="74"/>
      <c r="T62" s="25"/>
      <c r="U62" s="25"/>
    </row>
    <row r="63" spans="2:21" s="4" customFormat="1" ht="15" customHeight="1" x14ac:dyDescent="0.3">
      <c r="B63" s="53"/>
      <c r="C63" s="57"/>
      <c r="D63" s="61"/>
      <c r="E63" s="56"/>
      <c r="F63" s="53"/>
      <c r="G63" s="53" t="str">
        <f>IF(ISBLANK(Acciones!$H63)=TRUE," ",WEEKNUM(Acciones!$H63,21))</f>
        <v xml:space="preserve"> </v>
      </c>
      <c r="H63" s="54"/>
      <c r="I63" s="59"/>
      <c r="J63" s="63"/>
      <c r="K63" s="47" t="str">
        <f ca="1">IF(AND(ISBLANK(Acciones!$D63)=FALSE,ISBLANK(Acciones!$H63)=TRUE),"Faltan fechas",IF(Acciones!$H63="","",IF(AND(Acciones!$H63&gt;=TODAY(),ISBLANK(Acciones!$J63)=TRUE),"En tiempo",IF(AND(Acciones!$H63&lt;TODAY(),Acciones!$J63=""),"Retrasado",IF(Acciones!$J63&gt;Acciones!$H63,"Cerrado con retraso","Cerrado")))))</f>
        <v/>
      </c>
      <c r="L63" s="61"/>
      <c r="M63" s="74"/>
      <c r="T63" s="25"/>
      <c r="U63" s="25"/>
    </row>
    <row r="64" spans="2:21" s="4" customFormat="1" ht="15" customHeight="1" x14ac:dyDescent="0.3">
      <c r="B64" s="53"/>
      <c r="C64" s="57"/>
      <c r="D64" s="61"/>
      <c r="E64" s="56"/>
      <c r="F64" s="53"/>
      <c r="G64" s="53" t="str">
        <f>IF(ISBLANK(Acciones!$H64)=TRUE," ",WEEKNUM(Acciones!$H64,21))</f>
        <v xml:space="preserve"> </v>
      </c>
      <c r="H64" s="54"/>
      <c r="I64" s="59"/>
      <c r="J64" s="54"/>
      <c r="K64" s="47" t="str">
        <f ca="1">IF(AND(ISBLANK(Acciones!$D64)=FALSE,ISBLANK(Acciones!$H64)=TRUE),"Faltan fechas",IF(Acciones!$H64="","",IF(AND(Acciones!$H64&gt;=TODAY(),ISBLANK(Acciones!$J64)=TRUE),"En tiempo",IF(AND(Acciones!$H64&lt;TODAY(),Acciones!$J64=""),"Retrasado",IF(Acciones!$J64&gt;Acciones!$H64,"Cerrado con retraso","Cerrado")))))</f>
        <v/>
      </c>
      <c r="L64" s="61"/>
      <c r="M64" s="74"/>
      <c r="T64" s="25"/>
      <c r="U64" s="25"/>
    </row>
    <row r="65" spans="2:21" s="4" customFormat="1" ht="15" customHeight="1" x14ac:dyDescent="0.3">
      <c r="B65" s="53"/>
      <c r="C65" s="57"/>
      <c r="D65" s="61"/>
      <c r="E65" s="56"/>
      <c r="F65" s="53"/>
      <c r="G65" s="53" t="str">
        <f>IF(ISBLANK(Acciones!$H65)=TRUE," ",WEEKNUM(Acciones!$H65,21))</f>
        <v xml:space="preserve"> </v>
      </c>
      <c r="H65" s="54"/>
      <c r="I65" s="59"/>
      <c r="J65" s="54"/>
      <c r="K65" s="47" t="str">
        <f ca="1">IF(AND(ISBLANK(Acciones!$D65)=FALSE,ISBLANK(Acciones!$H65)=TRUE),"Faltan fechas",IF(Acciones!$H65="","",IF(AND(Acciones!$H65&gt;=TODAY(),ISBLANK(Acciones!$J65)=TRUE),"En tiempo",IF(AND(Acciones!$H65&lt;TODAY(),Acciones!$J65=""),"Retrasado",IF(Acciones!$J65&gt;Acciones!$H65,"Cerrado con retraso","Cerrado")))))</f>
        <v/>
      </c>
      <c r="L65" s="61"/>
      <c r="M65" s="74"/>
      <c r="T65" s="25"/>
      <c r="U65" s="25"/>
    </row>
    <row r="66" spans="2:21" s="4" customFormat="1" ht="15" customHeight="1" x14ac:dyDescent="0.3">
      <c r="B66" s="53"/>
      <c r="C66" s="57"/>
      <c r="D66" s="61"/>
      <c r="E66" s="56"/>
      <c r="F66" s="53"/>
      <c r="G66" s="53" t="str">
        <f>IF(ISBLANK(Acciones!$H66)=TRUE," ",WEEKNUM(Acciones!$H66,21))</f>
        <v xml:space="preserve"> </v>
      </c>
      <c r="H66" s="63"/>
      <c r="I66" s="59"/>
      <c r="J66" s="63"/>
      <c r="K66" s="47" t="str">
        <f ca="1">IF(AND(ISBLANK(Acciones!$D66)=FALSE,ISBLANK(Acciones!$H66)=TRUE),"Faltan fechas",IF(Acciones!$H66="","",IF(AND(Acciones!$H66&gt;=TODAY(),ISBLANK(Acciones!$J66)=TRUE),"En tiempo",IF(AND(Acciones!$H66&lt;TODAY(),Acciones!$J66=""),"Retrasado",IF(Acciones!$J66&gt;Acciones!$H66,"Cerrado con retraso","Cerrado")))))</f>
        <v/>
      </c>
      <c r="L66" s="61"/>
      <c r="M66" s="74"/>
      <c r="T66" s="25"/>
      <c r="U66" s="25"/>
    </row>
    <row r="67" spans="2:21" s="4" customFormat="1" ht="15" customHeight="1" x14ac:dyDescent="0.3">
      <c r="B67" s="53"/>
      <c r="C67" s="57"/>
      <c r="D67" s="61"/>
      <c r="E67" s="56"/>
      <c r="F67" s="53"/>
      <c r="G67" s="53" t="str">
        <f>IF(ISBLANK(Acciones!$H67)=TRUE," ",WEEKNUM(Acciones!$H67,21))</f>
        <v xml:space="preserve"> </v>
      </c>
      <c r="H67" s="59"/>
      <c r="I67" s="59"/>
      <c r="J67" s="53"/>
      <c r="K67" s="47" t="str">
        <f ca="1">IF(AND(ISBLANK(Acciones!$D67)=FALSE,ISBLANK(Acciones!$H67)=TRUE),"Faltan fechas",IF(Acciones!$H67="","",IF(AND(Acciones!$H67&gt;=TODAY(),ISBLANK(Acciones!$J67)=TRUE),"En tiempo",IF(AND(Acciones!$H67&lt;TODAY(),Acciones!$J67=""),"Retrasado",IF(Acciones!$J67&gt;Acciones!$H67,"Cerrado con retraso","Cerrado")))))</f>
        <v/>
      </c>
      <c r="L67" s="61"/>
      <c r="M67" s="74"/>
      <c r="T67" s="25"/>
      <c r="U67" s="25"/>
    </row>
    <row r="68" spans="2:21" s="4" customFormat="1" ht="15" customHeight="1" x14ac:dyDescent="0.3">
      <c r="B68" s="53"/>
      <c r="C68" s="57"/>
      <c r="D68" s="61"/>
      <c r="E68" s="56"/>
      <c r="F68" s="53"/>
      <c r="G68" s="53" t="str">
        <f>IF(ISBLANK(Acciones!$H68)=TRUE," ",WEEKNUM(Acciones!$H68,21))</f>
        <v xml:space="preserve"> </v>
      </c>
      <c r="H68" s="54"/>
      <c r="I68" s="59"/>
      <c r="J68" s="59"/>
      <c r="K68" s="47" t="str">
        <f ca="1">IF(AND(ISBLANK(Acciones!$D68)=FALSE,ISBLANK(Acciones!$H68)=TRUE),"Faltan fechas",IF(Acciones!$H68="","",IF(AND(Acciones!$H68&gt;=TODAY(),ISBLANK(Acciones!$J68)=TRUE),"En tiempo",IF(AND(Acciones!$H68&lt;TODAY(),Acciones!$J68=""),"Retrasado",IF(Acciones!$J68&gt;Acciones!$H68,"Cerrado con retraso","Cerrado")))))</f>
        <v/>
      </c>
      <c r="L68" s="61"/>
      <c r="M68" s="74"/>
      <c r="T68" s="25"/>
      <c r="U68" s="25"/>
    </row>
    <row r="69" spans="2:21" s="4" customFormat="1" ht="15" customHeight="1" x14ac:dyDescent="0.3">
      <c r="B69" s="53"/>
      <c r="C69" s="57"/>
      <c r="D69" s="61"/>
      <c r="E69" s="56"/>
      <c r="F69" s="56"/>
      <c r="G69" s="56" t="str">
        <f>IF(ISBLANK(Acciones!$H69)=TRUE," ",WEEKNUM(Acciones!$H69,21))</f>
        <v xml:space="preserve"> </v>
      </c>
      <c r="H69" s="59"/>
      <c r="I69" s="59"/>
      <c r="J69" s="53"/>
      <c r="K69" s="47" t="str">
        <f ca="1">IF(AND(ISBLANK(Acciones!$D69)=FALSE,ISBLANK(Acciones!$H69)=TRUE),"Faltan fechas",IF(Acciones!$H69="","",IF(AND(Acciones!$H69&gt;=TODAY(),ISBLANK(Acciones!$J69)=TRUE),"En tiempo",IF(AND(Acciones!$H69&lt;TODAY(),Acciones!$J69=""),"Retrasado",IF(Acciones!$J69&gt;Acciones!$H69,"Cerrado con retraso","Cerrado")))))</f>
        <v/>
      </c>
      <c r="L69" s="61"/>
      <c r="M69" s="74"/>
      <c r="T69" s="25"/>
      <c r="U69" s="25"/>
    </row>
    <row r="70" spans="2:21" s="4" customFormat="1" ht="15" customHeight="1" x14ac:dyDescent="0.3">
      <c r="B70" s="53"/>
      <c r="C70" s="57"/>
      <c r="D70" s="61"/>
      <c r="E70" s="56"/>
      <c r="F70" s="53"/>
      <c r="G70" s="53" t="str">
        <f>IF(ISBLANK(Acciones!$H70)=TRUE," ",WEEKNUM(Acciones!$H70,21))</f>
        <v xml:space="preserve"> </v>
      </c>
      <c r="H70" s="59"/>
      <c r="I70" s="59"/>
      <c r="J70" s="59"/>
      <c r="K70" s="47" t="str">
        <f ca="1">IF(AND(ISBLANK(Acciones!$D70)=FALSE,ISBLANK(Acciones!$H70)=TRUE),"Faltan fechas",IF(Acciones!$H70="","",IF(AND(Acciones!$H70&gt;=TODAY(),ISBLANK(Acciones!$J70)=TRUE),"En tiempo",IF(AND(Acciones!$H70&lt;TODAY(),Acciones!$J70=""),"Retrasado",IF(Acciones!$J70&gt;Acciones!$H70,"Cerrado con retraso","Cerrado")))))</f>
        <v/>
      </c>
      <c r="L70" s="61"/>
      <c r="M70" s="74"/>
      <c r="T70" s="25"/>
      <c r="U70" s="25"/>
    </row>
    <row r="71" spans="2:21" s="4" customFormat="1" ht="15" customHeight="1" x14ac:dyDescent="0.3">
      <c r="B71" s="53"/>
      <c r="C71" s="57"/>
      <c r="D71" s="61"/>
      <c r="E71" s="56"/>
      <c r="F71" s="53"/>
      <c r="G71" s="53" t="str">
        <f>IF(ISBLANK(Acciones!$H71)=TRUE," ",WEEKNUM(Acciones!$H71,21))</f>
        <v xml:space="preserve"> </v>
      </c>
      <c r="H71" s="59"/>
      <c r="I71" s="59"/>
      <c r="J71" s="59"/>
      <c r="K71" s="47" t="str">
        <f ca="1">IF(AND(ISBLANK(Acciones!$D71)=FALSE,ISBLANK(Acciones!$H71)=TRUE),"Faltan fechas",IF(Acciones!$H71="","",IF(AND(Acciones!$H71&gt;=TODAY(),ISBLANK(Acciones!$J71)=TRUE),"En tiempo",IF(AND(Acciones!$H71&lt;TODAY(),Acciones!$J71=""),"Retrasado",IF(Acciones!$J71&gt;Acciones!$H71,"Cerrado con retraso","Cerrado")))))</f>
        <v/>
      </c>
      <c r="L71" s="61"/>
      <c r="M71" s="74"/>
      <c r="T71" s="25"/>
      <c r="U71" s="25"/>
    </row>
    <row r="72" spans="2:21" s="4" customFormat="1" ht="15" customHeight="1" x14ac:dyDescent="0.3">
      <c r="B72" s="53"/>
      <c r="C72" s="57"/>
      <c r="D72" s="61"/>
      <c r="E72" s="56"/>
      <c r="F72" s="53"/>
      <c r="G72" s="53" t="str">
        <f>IF(ISBLANK(Acciones!$H72)=TRUE," ",WEEKNUM(Acciones!$H72,21))</f>
        <v xml:space="preserve"> </v>
      </c>
      <c r="H72" s="59"/>
      <c r="I72" s="59"/>
      <c r="J72" s="59"/>
      <c r="K72" s="47" t="str">
        <f ca="1">IF(AND(ISBLANK(Acciones!$D72)=FALSE,ISBLANK(Acciones!$H72)=TRUE),"Faltan fechas",IF(Acciones!$H72="","",IF(AND(Acciones!$H72&gt;=TODAY(),ISBLANK(Acciones!$J72)=TRUE),"En tiempo",IF(AND(Acciones!$H72&lt;TODAY(),Acciones!$J72=""),"Retrasado",IF(Acciones!$J72&gt;Acciones!$H72,"Cerrado con retraso","Cerrado")))))</f>
        <v/>
      </c>
      <c r="L72" s="61"/>
      <c r="M72" s="74"/>
      <c r="T72" s="25"/>
      <c r="U72" s="25"/>
    </row>
    <row r="73" spans="2:21" s="4" customFormat="1" ht="15" customHeight="1" x14ac:dyDescent="0.3">
      <c r="B73" s="53"/>
      <c r="C73" s="57"/>
      <c r="D73" s="61"/>
      <c r="E73" s="56"/>
      <c r="F73" s="53"/>
      <c r="G73" s="53" t="str">
        <f>IF(ISBLANK(Acciones!$H73)=TRUE," ",WEEKNUM(Acciones!$H73,21))</f>
        <v xml:space="preserve"> </v>
      </c>
      <c r="H73" s="54"/>
      <c r="I73" s="59"/>
      <c r="J73" s="54"/>
      <c r="K73" s="47" t="str">
        <f ca="1">IF(AND(ISBLANK(Acciones!$D73)=FALSE,ISBLANK(Acciones!$H73)=TRUE),"Faltan fechas",IF(Acciones!$H73="","",IF(AND(Acciones!$H73&gt;=TODAY(),ISBLANK(Acciones!$J73)=TRUE),"En tiempo",IF(AND(Acciones!$H73&lt;TODAY(),Acciones!$J73=""),"Retrasado",IF(Acciones!$J73&gt;Acciones!$H73,"Cerrado con retraso","Cerrado")))))</f>
        <v/>
      </c>
      <c r="L73" s="61"/>
      <c r="M73" s="74"/>
      <c r="T73" s="25"/>
      <c r="U73" s="25"/>
    </row>
    <row r="74" spans="2:21" s="4" customFormat="1" ht="15" customHeight="1" x14ac:dyDescent="0.3">
      <c r="B74" s="53"/>
      <c r="C74" s="57"/>
      <c r="D74" s="61"/>
      <c r="E74" s="56"/>
      <c r="F74" s="53"/>
      <c r="G74" s="53" t="str">
        <f>IF(ISBLANK(Acciones!$H74)=TRUE," ",WEEKNUM(Acciones!$H74,21))</f>
        <v xml:space="preserve"> </v>
      </c>
      <c r="H74" s="59"/>
      <c r="I74" s="59"/>
      <c r="J74" s="59"/>
      <c r="K74" s="47" t="str">
        <f ca="1">IF(AND(ISBLANK(Acciones!$D74)=FALSE,ISBLANK(Acciones!$H74)=TRUE),"Faltan fechas",IF(Acciones!$H74="","",IF(AND(Acciones!$H74&gt;=TODAY(),ISBLANK(Acciones!$J74)=TRUE),"En tiempo",IF(AND(Acciones!$H74&lt;TODAY(),Acciones!$J74=""),"Retrasado",IF(Acciones!$J74&gt;Acciones!$H74,"Cerrado con retraso","Cerrado")))))</f>
        <v/>
      </c>
      <c r="L74" s="61"/>
      <c r="M74" s="74"/>
      <c r="T74" s="25"/>
      <c r="U74" s="25"/>
    </row>
    <row r="75" spans="2:21" s="4" customFormat="1" ht="15" customHeight="1" x14ac:dyDescent="0.3">
      <c r="B75" s="53"/>
      <c r="C75" s="57"/>
      <c r="D75" s="61"/>
      <c r="E75" s="56"/>
      <c r="F75" s="53"/>
      <c r="G75" s="53" t="str">
        <f>IF(ISBLANK(Acciones!$H75)=TRUE," ",WEEKNUM(Acciones!$H75,21))</f>
        <v xml:space="preserve"> </v>
      </c>
      <c r="H75" s="59"/>
      <c r="I75" s="59"/>
      <c r="J75" s="54"/>
      <c r="K75" s="47" t="str">
        <f ca="1">IF(AND(ISBLANK(Acciones!$D75)=FALSE,ISBLANK(Acciones!$H75)=TRUE),"Faltan fechas",IF(Acciones!$H75="","",IF(AND(Acciones!$H75&gt;=TODAY(),ISBLANK(Acciones!$J75)=TRUE),"En tiempo",IF(AND(Acciones!$H75&lt;TODAY(),Acciones!$J75=""),"Retrasado",IF(Acciones!$J75&gt;Acciones!$H75,"Cerrado con retraso","Cerrado")))))</f>
        <v/>
      </c>
      <c r="L75" s="61"/>
      <c r="M75" s="74"/>
      <c r="T75" s="25"/>
      <c r="U75" s="25"/>
    </row>
    <row r="76" spans="2:21" s="4" customFormat="1" ht="15" customHeight="1" x14ac:dyDescent="0.3">
      <c r="B76" s="53"/>
      <c r="C76" s="57"/>
      <c r="D76" s="61"/>
      <c r="E76" s="56"/>
      <c r="F76" s="53"/>
      <c r="G76" s="53" t="str">
        <f>IF(ISBLANK(Acciones!$H76)=TRUE," ",WEEKNUM(Acciones!$H76,21))</f>
        <v xml:space="preserve"> </v>
      </c>
      <c r="H76" s="63"/>
      <c r="I76" s="59"/>
      <c r="J76" s="63"/>
      <c r="K76" s="47" t="str">
        <f ca="1">IF(AND(ISBLANK(Acciones!$D76)=FALSE,ISBLANK(Acciones!$H76)=TRUE),"Faltan fechas",IF(Acciones!$H76="","",IF(AND(Acciones!$H76&gt;=TODAY(),ISBLANK(Acciones!$J76)=TRUE),"En tiempo",IF(AND(Acciones!$H76&lt;TODAY(),Acciones!$J76=""),"Retrasado",IF(Acciones!$J76&gt;Acciones!$H76,"Cerrado con retraso","Cerrado")))))</f>
        <v/>
      </c>
      <c r="L76" s="61"/>
      <c r="M76" s="74"/>
      <c r="T76" s="25"/>
      <c r="U76" s="25"/>
    </row>
    <row r="77" spans="2:21" s="4" customFormat="1" ht="15" customHeight="1" x14ac:dyDescent="0.3">
      <c r="B77" s="53"/>
      <c r="C77" s="57"/>
      <c r="D77" s="61"/>
      <c r="E77" s="56"/>
      <c r="F77" s="53"/>
      <c r="G77" s="53" t="str">
        <f>IF(ISBLANK(Acciones!$H77)=TRUE," ",WEEKNUM(Acciones!$H77,21))</f>
        <v xml:space="preserve"> </v>
      </c>
      <c r="H77" s="63"/>
      <c r="I77" s="59"/>
      <c r="J77" s="63"/>
      <c r="K77" s="47" t="str">
        <f ca="1">IF(AND(ISBLANK(Acciones!$D77)=FALSE,ISBLANK(Acciones!$H77)=TRUE),"Faltan fechas",IF(Acciones!$H77="","",IF(AND(Acciones!$H77&gt;=TODAY(),ISBLANK(Acciones!$J77)=TRUE),"En tiempo",IF(AND(Acciones!$H77&lt;TODAY(),Acciones!$J77=""),"Retrasado",IF(Acciones!$J77&gt;Acciones!$H77,"Cerrado con retraso","Cerrado")))))</f>
        <v/>
      </c>
      <c r="L77" s="61"/>
      <c r="M77" s="74"/>
      <c r="T77" s="25"/>
      <c r="U77" s="25"/>
    </row>
    <row r="78" spans="2:21" s="4" customFormat="1" ht="15" customHeight="1" x14ac:dyDescent="0.3">
      <c r="B78" s="53"/>
      <c r="C78" s="57"/>
      <c r="D78" s="61"/>
      <c r="E78" s="56"/>
      <c r="F78" s="53"/>
      <c r="G78" s="53" t="str">
        <f>IF(ISBLANK(Acciones!$H78)=TRUE," ",WEEKNUM(Acciones!$H78,21))</f>
        <v xml:space="preserve"> </v>
      </c>
      <c r="H78" s="63"/>
      <c r="I78" s="59"/>
      <c r="J78" s="63"/>
      <c r="K78" s="47" t="str">
        <f ca="1">IF(AND(ISBLANK(Acciones!$D78)=FALSE,ISBLANK(Acciones!$H78)=TRUE),"Faltan fechas",IF(Acciones!$H78="","",IF(AND(Acciones!$H78&gt;=TODAY(),ISBLANK(Acciones!$J78)=TRUE),"En tiempo",IF(AND(Acciones!$H78&lt;TODAY(),Acciones!$J78=""),"Retrasado",IF(Acciones!$J78&gt;Acciones!$H78,"Cerrado con retraso","Cerrado")))))</f>
        <v/>
      </c>
      <c r="L78" s="61"/>
      <c r="M78" s="74"/>
      <c r="T78" s="25"/>
      <c r="U78" s="25"/>
    </row>
    <row r="79" spans="2:21" s="4" customFormat="1" ht="15" customHeight="1" x14ac:dyDescent="0.3">
      <c r="B79" s="53"/>
      <c r="C79" s="57"/>
      <c r="D79" s="61"/>
      <c r="E79" s="56"/>
      <c r="F79" s="53"/>
      <c r="G79" s="53" t="str">
        <f>IF(ISBLANK(Acciones!$H79)=TRUE," ",WEEKNUM(Acciones!$H79,21))</f>
        <v xml:space="preserve"> </v>
      </c>
      <c r="H79" s="63"/>
      <c r="I79" s="59"/>
      <c r="J79" s="63"/>
      <c r="K79" s="47" t="str">
        <f ca="1">IF(AND(ISBLANK(Acciones!$D79)=FALSE,ISBLANK(Acciones!$H79)=TRUE),"Faltan fechas",IF(Acciones!$H79="","",IF(AND(Acciones!$H79&gt;=TODAY(),ISBLANK(Acciones!$J79)=TRUE),"En tiempo",IF(AND(Acciones!$H79&lt;TODAY(),Acciones!$J79=""),"Retrasado",IF(Acciones!$J79&gt;Acciones!$H79,"Cerrado con retraso","Cerrado")))))</f>
        <v/>
      </c>
      <c r="L79" s="61"/>
      <c r="M79" s="74"/>
      <c r="T79" s="25"/>
      <c r="U79" s="25"/>
    </row>
    <row r="80" spans="2:21" s="4" customFormat="1" ht="15" customHeight="1" x14ac:dyDescent="0.3">
      <c r="B80" s="53"/>
      <c r="C80" s="57"/>
      <c r="D80" s="61"/>
      <c r="E80" s="56"/>
      <c r="F80" s="53"/>
      <c r="G80" s="53" t="str">
        <f>IF(ISBLANK(Acciones!$H80)=TRUE," ",WEEKNUM(Acciones!$H80,21))</f>
        <v xml:space="preserve"> </v>
      </c>
      <c r="H80" s="63"/>
      <c r="I80" s="59"/>
      <c r="J80" s="63"/>
      <c r="K80" s="47" t="str">
        <f ca="1">IF(AND(ISBLANK(Acciones!$D80)=FALSE,ISBLANK(Acciones!$H80)=TRUE),"Faltan fechas",IF(Acciones!$H80="","",IF(AND(Acciones!$H80&gt;=TODAY(),ISBLANK(Acciones!$J80)=TRUE),"En tiempo",IF(AND(Acciones!$H80&lt;TODAY(),Acciones!$J80=""),"Retrasado",IF(Acciones!$J80&gt;Acciones!$H80,"Cerrado con retraso","Cerrado")))))</f>
        <v/>
      </c>
      <c r="L80" s="61"/>
      <c r="M80" s="74"/>
      <c r="T80" s="25"/>
      <c r="U80" s="25"/>
    </row>
    <row r="81" spans="2:21" s="4" customFormat="1" ht="15" customHeight="1" x14ac:dyDescent="0.3">
      <c r="B81" s="53"/>
      <c r="C81" s="57"/>
      <c r="D81" s="61"/>
      <c r="E81" s="56"/>
      <c r="F81" s="53"/>
      <c r="G81" s="53" t="str">
        <f>IF(ISBLANK(Acciones!$H81)=TRUE," ",WEEKNUM(Acciones!$H81,21))</f>
        <v xml:space="preserve"> </v>
      </c>
      <c r="H81" s="63"/>
      <c r="I81" s="59"/>
      <c r="J81" s="59"/>
      <c r="K81" s="47" t="str">
        <f ca="1">IF(AND(ISBLANK(Acciones!$D81)=FALSE,ISBLANK(Acciones!$H81)=TRUE),"Faltan fechas",IF(Acciones!$H81="","",IF(AND(Acciones!$H81&gt;=TODAY(),ISBLANK(Acciones!$J81)=TRUE),"En tiempo",IF(AND(Acciones!$H81&lt;TODAY(),Acciones!$J81=""),"Retrasado",IF(Acciones!$J81&gt;Acciones!$H81,"Cerrado con retraso","Cerrado")))))</f>
        <v/>
      </c>
      <c r="L81" s="61"/>
      <c r="M81" s="74"/>
      <c r="T81" s="25"/>
      <c r="U81" s="25"/>
    </row>
    <row r="82" spans="2:21" s="4" customFormat="1" ht="15" customHeight="1" x14ac:dyDescent="0.3">
      <c r="B82" s="53"/>
      <c r="C82" s="57"/>
      <c r="D82" s="61"/>
      <c r="E82" s="56"/>
      <c r="F82" s="53"/>
      <c r="G82" s="53" t="str">
        <f>IF(ISBLANK(Acciones!$H82)=TRUE," ",WEEKNUM(Acciones!$H82,21))</f>
        <v xml:space="preserve"> </v>
      </c>
      <c r="H82" s="63"/>
      <c r="I82" s="59"/>
      <c r="J82" s="53"/>
      <c r="K82" s="47" t="str">
        <f ca="1">IF(AND(ISBLANK(Acciones!$D82)=FALSE,ISBLANK(Acciones!$H82)=TRUE),"Faltan fechas",IF(Acciones!$H82="","",IF(AND(Acciones!$H82&gt;=TODAY(),ISBLANK(Acciones!$J82)=TRUE),"En tiempo",IF(AND(Acciones!$H82&lt;TODAY(),Acciones!$J82=""),"Retrasado",IF(Acciones!$J82&gt;Acciones!$H82,"Cerrado con retraso","Cerrado")))))</f>
        <v/>
      </c>
      <c r="L82" s="61"/>
      <c r="M82" s="74"/>
      <c r="T82" s="25"/>
      <c r="U82" s="25"/>
    </row>
    <row r="83" spans="2:21" s="4" customFormat="1" ht="15" customHeight="1" x14ac:dyDescent="0.3">
      <c r="B83" s="53"/>
      <c r="C83" s="57"/>
      <c r="D83" s="61"/>
      <c r="E83" s="56"/>
      <c r="F83" s="53"/>
      <c r="G83" s="53" t="str">
        <f>IF(ISBLANK(Acciones!$H83)=TRUE," ",WEEKNUM(Acciones!$H83,21))</f>
        <v xml:space="preserve"> </v>
      </c>
      <c r="H83" s="54"/>
      <c r="I83" s="59"/>
      <c r="J83" s="63"/>
      <c r="K83" s="47" t="str">
        <f ca="1">IF(AND(ISBLANK(Acciones!$D83)=FALSE,ISBLANK(Acciones!$H83)=TRUE),"Faltan fechas",IF(Acciones!$H83="","",IF(AND(Acciones!$H83&gt;=TODAY(),ISBLANK(Acciones!$J83)=TRUE),"En tiempo",IF(AND(Acciones!$H83&lt;TODAY(),Acciones!$J83=""),"Retrasado",IF(Acciones!$J83&gt;Acciones!$H83,"Cerrado con retraso","Cerrado")))))</f>
        <v/>
      </c>
      <c r="L83" s="61"/>
      <c r="M83" s="74"/>
      <c r="T83" s="25"/>
      <c r="U83" s="25"/>
    </row>
    <row r="84" spans="2:21" s="4" customFormat="1" ht="15" customHeight="1" x14ac:dyDescent="0.3">
      <c r="B84" s="53"/>
      <c r="C84" s="57"/>
      <c r="D84" s="61"/>
      <c r="E84" s="56"/>
      <c r="F84" s="53"/>
      <c r="G84" s="53" t="str">
        <f>IF(ISBLANK(Acciones!$H84)=TRUE," ",WEEKNUM(Acciones!$H84,21))</f>
        <v xml:space="preserve"> </v>
      </c>
      <c r="H84" s="63"/>
      <c r="I84" s="59"/>
      <c r="J84" s="53"/>
      <c r="K84" s="47" t="str">
        <f ca="1">IF(AND(ISBLANK(Acciones!$D84)=FALSE,ISBLANK(Acciones!$H84)=TRUE),"Faltan fechas",IF(Acciones!$H84="","",IF(AND(Acciones!$H84&gt;=TODAY(),ISBLANK(Acciones!$J84)=TRUE),"En tiempo",IF(AND(Acciones!$H84&lt;TODAY(),Acciones!$J84=""),"Retrasado",IF(Acciones!$J84&gt;Acciones!$H84,"Cerrado con retraso","Cerrado")))))</f>
        <v/>
      </c>
      <c r="L84" s="61"/>
      <c r="M84" s="74"/>
      <c r="T84" s="25"/>
      <c r="U84" s="25"/>
    </row>
    <row r="85" spans="2:21" s="4" customFormat="1" ht="15" customHeight="1" x14ac:dyDescent="0.3">
      <c r="B85" s="53"/>
      <c r="C85" s="57"/>
      <c r="D85" s="61"/>
      <c r="E85" s="56"/>
      <c r="F85" s="53"/>
      <c r="G85" s="53" t="str">
        <f>IF(ISBLANK(Acciones!$H85)=TRUE," ",WEEKNUM(Acciones!$H85,21))</f>
        <v xml:space="preserve"> </v>
      </c>
      <c r="H85" s="63"/>
      <c r="I85" s="59"/>
      <c r="J85" s="63"/>
      <c r="K85" s="47" t="str">
        <f ca="1">IF(AND(ISBLANK(Acciones!$D85)=FALSE,ISBLANK(Acciones!$H85)=TRUE),"Faltan fechas",IF(Acciones!$H85="","",IF(AND(Acciones!$H85&gt;=TODAY(),ISBLANK(Acciones!$J85)=TRUE),"En tiempo",IF(AND(Acciones!$H85&lt;TODAY(),Acciones!$J85=""),"Retrasado",IF(Acciones!$J85&gt;Acciones!$H85,"Cerrado con retraso","Cerrado")))))</f>
        <v/>
      </c>
      <c r="L85" s="61"/>
      <c r="M85" s="74"/>
      <c r="T85" s="25"/>
      <c r="U85" s="25"/>
    </row>
    <row r="86" spans="2:21" s="4" customFormat="1" ht="15" customHeight="1" x14ac:dyDescent="0.3">
      <c r="B86" s="53"/>
      <c r="C86" s="57"/>
      <c r="D86" s="61"/>
      <c r="E86" s="56"/>
      <c r="F86" s="53"/>
      <c r="G86" s="53" t="str">
        <f>IF(ISBLANK(Acciones!$H86)=TRUE," ",WEEKNUM(Acciones!$H86,21))</f>
        <v xml:space="preserve"> </v>
      </c>
      <c r="H86" s="59"/>
      <c r="I86" s="59"/>
      <c r="J86" s="63"/>
      <c r="K86" s="47" t="str">
        <f ca="1">IF(AND(ISBLANK(Acciones!$D86)=FALSE,ISBLANK(Acciones!$H86)=TRUE),"Faltan fechas",IF(Acciones!$H86="","",IF(AND(Acciones!$H86&gt;=TODAY(),ISBLANK(Acciones!$J86)=TRUE),"En tiempo",IF(AND(Acciones!$H86&lt;TODAY(),Acciones!$J86=""),"Retrasado",IF(Acciones!$J86&gt;Acciones!$H86,"Cerrado con retraso","Cerrado")))))</f>
        <v/>
      </c>
      <c r="L86" s="61"/>
      <c r="M86" s="74"/>
      <c r="T86" s="25"/>
      <c r="U86" s="25"/>
    </row>
    <row r="87" spans="2:21" s="4" customFormat="1" ht="15" customHeight="1" x14ac:dyDescent="0.3">
      <c r="B87" s="53"/>
      <c r="C87" s="57"/>
      <c r="D87" s="61"/>
      <c r="E87" s="56"/>
      <c r="F87" s="53"/>
      <c r="G87" s="53" t="str">
        <f>IF(ISBLANK(Acciones!$H87)=TRUE," ",WEEKNUM(Acciones!$H87,21))</f>
        <v xml:space="preserve"> </v>
      </c>
      <c r="H87" s="63"/>
      <c r="I87" s="59"/>
      <c r="J87" s="53"/>
      <c r="K87" s="47" t="str">
        <f ca="1">IF(AND(ISBLANK(Acciones!$D87)=FALSE,ISBLANK(Acciones!$H87)=TRUE),"Faltan fechas",IF(Acciones!$H87="","",IF(AND(Acciones!$H87&gt;=TODAY(),ISBLANK(Acciones!$J87)=TRUE),"En tiempo",IF(AND(Acciones!$H87&lt;TODAY(),Acciones!$J87=""),"Retrasado",IF(Acciones!$J87&gt;Acciones!$H87,"Cerrado con retraso","Cerrado")))))</f>
        <v/>
      </c>
      <c r="L87" s="61"/>
      <c r="M87" s="74"/>
      <c r="T87" s="25"/>
      <c r="U87" s="25"/>
    </row>
    <row r="88" spans="2:21" s="4" customFormat="1" ht="15" customHeight="1" x14ac:dyDescent="0.3">
      <c r="B88" s="53"/>
      <c r="C88" s="57"/>
      <c r="D88" s="61"/>
      <c r="E88" s="56"/>
      <c r="F88" s="53"/>
      <c r="G88" s="53" t="str">
        <f>IF(ISBLANK(Acciones!$H88)=TRUE," ",WEEKNUM(Acciones!$H88,21))</f>
        <v xml:space="preserve"> </v>
      </c>
      <c r="H88" s="54"/>
      <c r="I88" s="59"/>
      <c r="J88" s="63"/>
      <c r="K88" s="47" t="str">
        <f ca="1">IF(AND(ISBLANK(Acciones!$D88)=FALSE,ISBLANK(Acciones!$H88)=TRUE),"Faltan fechas",IF(Acciones!$H88="","",IF(AND(Acciones!$H88&gt;=TODAY(),ISBLANK(Acciones!$J88)=TRUE),"En tiempo",IF(AND(Acciones!$H88&lt;TODAY(),Acciones!$J88=""),"Retrasado",IF(Acciones!$J88&gt;Acciones!$H88,"Cerrado con retraso","Cerrado")))))</f>
        <v/>
      </c>
      <c r="L88" s="61"/>
      <c r="M88" s="74"/>
      <c r="T88" s="25"/>
      <c r="U88" s="25"/>
    </row>
    <row r="89" spans="2:21" s="4" customFormat="1" ht="15" customHeight="1" x14ac:dyDescent="0.3">
      <c r="B89" s="53"/>
      <c r="C89" s="57"/>
      <c r="D89" s="61"/>
      <c r="E89" s="56"/>
      <c r="F89" s="53"/>
      <c r="G89" s="53" t="str">
        <f>IF(ISBLANK(Acciones!$H89)=TRUE," ",WEEKNUM(Acciones!$H89,21))</f>
        <v xml:space="preserve"> </v>
      </c>
      <c r="H89" s="63"/>
      <c r="I89" s="59"/>
      <c r="J89" s="63"/>
      <c r="K89" s="47" t="str">
        <f ca="1">IF(AND(ISBLANK(Acciones!$D89)=FALSE,ISBLANK(Acciones!$H89)=TRUE),"Faltan fechas",IF(Acciones!$H89="","",IF(AND(Acciones!$H89&gt;=TODAY(),ISBLANK(Acciones!$J89)=TRUE),"En tiempo",IF(AND(Acciones!$H89&lt;TODAY(),Acciones!$J89=""),"Retrasado",IF(Acciones!$J89&gt;Acciones!$H89,"Cerrado con retraso","Cerrado")))))</f>
        <v/>
      </c>
      <c r="L89" s="61"/>
      <c r="M89" s="74"/>
      <c r="T89" s="25"/>
      <c r="U89" s="25"/>
    </row>
    <row r="90" spans="2:21" s="4" customFormat="1" ht="15" customHeight="1" x14ac:dyDescent="0.3">
      <c r="B90" s="53"/>
      <c r="C90" s="57"/>
      <c r="D90" s="61"/>
      <c r="E90" s="56"/>
      <c r="F90" s="53"/>
      <c r="G90" s="53" t="str">
        <f>IF(ISBLANK(Acciones!$H90)=TRUE," ",WEEKNUM(Acciones!$H90,21))</f>
        <v xml:space="preserve"> </v>
      </c>
      <c r="H90" s="63"/>
      <c r="I90" s="59"/>
      <c r="J90" s="53"/>
      <c r="K90" s="47" t="str">
        <f ca="1">IF(AND(ISBLANK(Acciones!$D90)=FALSE,ISBLANK(Acciones!$H90)=TRUE),"Faltan fechas",IF(Acciones!$H90="","",IF(AND(Acciones!$H90&gt;=TODAY(),ISBLANK(Acciones!$J90)=TRUE),"En tiempo",IF(AND(Acciones!$H90&lt;TODAY(),Acciones!$J90=""),"Retrasado",IF(Acciones!$J90&gt;Acciones!$H90,"Cerrado con retraso","Cerrado")))))</f>
        <v/>
      </c>
      <c r="L90" s="61"/>
      <c r="M90" s="74"/>
      <c r="T90" s="25"/>
      <c r="U90" s="25"/>
    </row>
    <row r="91" spans="2:21" s="4" customFormat="1" ht="15" customHeight="1" x14ac:dyDescent="0.3">
      <c r="B91" s="53"/>
      <c r="C91" s="57"/>
      <c r="D91" s="61"/>
      <c r="E91" s="56"/>
      <c r="F91" s="53"/>
      <c r="G91" s="53" t="str">
        <f>IF(ISBLANK(Acciones!$H91)=TRUE," ",WEEKNUM(Acciones!$H91,21))</f>
        <v xml:space="preserve"> </v>
      </c>
      <c r="H91" s="63"/>
      <c r="I91" s="59"/>
      <c r="J91" s="63"/>
      <c r="K91" s="47" t="str">
        <f ca="1">IF(AND(ISBLANK(Acciones!$D91)=FALSE,ISBLANK(Acciones!$H91)=TRUE),"Faltan fechas",IF(Acciones!$H91="","",IF(AND(Acciones!$H91&gt;=TODAY(),ISBLANK(Acciones!$J91)=TRUE),"En tiempo",IF(AND(Acciones!$H91&lt;TODAY(),Acciones!$J91=""),"Retrasado",IF(Acciones!$J91&gt;Acciones!$H91,"Cerrado con retraso","Cerrado")))))</f>
        <v/>
      </c>
      <c r="L91" s="61"/>
      <c r="M91" s="74"/>
      <c r="T91" s="25"/>
      <c r="U91" s="25"/>
    </row>
    <row r="92" spans="2:21" s="4" customFormat="1" ht="15" customHeight="1" x14ac:dyDescent="0.3">
      <c r="B92" s="53"/>
      <c r="C92" s="57"/>
      <c r="D92" s="61"/>
      <c r="E92" s="56"/>
      <c r="F92" s="53"/>
      <c r="G92" s="53" t="str">
        <f>IF(ISBLANK(Acciones!$H92)=TRUE," ",WEEKNUM(Acciones!$H92,21))</f>
        <v xml:space="preserve"> </v>
      </c>
      <c r="H92" s="54"/>
      <c r="I92" s="59"/>
      <c r="J92" s="63"/>
      <c r="K92" s="47" t="str">
        <f ca="1">IF(AND(ISBLANK(Acciones!$D92)=FALSE,ISBLANK(Acciones!$H92)=TRUE),"Faltan fechas",IF(Acciones!$H92="","",IF(AND(Acciones!$H92&gt;=TODAY(),ISBLANK(Acciones!$J92)=TRUE),"En tiempo",IF(AND(Acciones!$H92&lt;TODAY(),Acciones!$J92=""),"Retrasado",IF(Acciones!$J92&gt;Acciones!$H92,"Cerrado con retraso","Cerrado")))))</f>
        <v/>
      </c>
      <c r="L92" s="61"/>
      <c r="M92" s="74"/>
      <c r="T92" s="25"/>
      <c r="U92" s="25"/>
    </row>
    <row r="93" spans="2:21" s="4" customFormat="1" ht="15" customHeight="1" x14ac:dyDescent="0.3">
      <c r="B93" s="53"/>
      <c r="C93" s="57"/>
      <c r="D93" s="61"/>
      <c r="E93" s="56"/>
      <c r="F93" s="53"/>
      <c r="G93" s="53" t="str">
        <f>IF(ISBLANK(Acciones!$H93)=TRUE," ",WEEKNUM(Acciones!$H93,21))</f>
        <v xml:space="preserve"> </v>
      </c>
      <c r="H93" s="63"/>
      <c r="I93" s="59"/>
      <c r="J93" s="53"/>
      <c r="K93" s="47" t="str">
        <f ca="1">IF(AND(ISBLANK(Acciones!$D93)=FALSE,ISBLANK(Acciones!$H93)=TRUE),"Faltan fechas",IF(Acciones!$H93="","",IF(AND(Acciones!$H93&gt;=TODAY(),ISBLANK(Acciones!$J93)=TRUE),"En tiempo",IF(AND(Acciones!$H93&lt;TODAY(),Acciones!$J93=""),"Retrasado",IF(Acciones!$J93&gt;Acciones!$H93,"Cerrado con retraso","Cerrado")))))</f>
        <v/>
      </c>
      <c r="L93" s="61"/>
      <c r="M93" s="74"/>
      <c r="T93" s="25"/>
      <c r="U93" s="25"/>
    </row>
    <row r="94" spans="2:21" s="4" customFormat="1" ht="15" customHeight="1" x14ac:dyDescent="0.3">
      <c r="B94" s="53"/>
      <c r="C94" s="57"/>
      <c r="D94" s="61"/>
      <c r="E94" s="56"/>
      <c r="F94" s="53"/>
      <c r="G94" s="53" t="str">
        <f>IF(ISBLANK(Acciones!$H94)=TRUE," ",WEEKNUM(Acciones!$H94,21))</f>
        <v xml:space="preserve"> </v>
      </c>
      <c r="H94" s="63"/>
      <c r="I94" s="59"/>
      <c r="J94" s="53"/>
      <c r="K94" s="47" t="str">
        <f ca="1">IF(AND(ISBLANK(Acciones!$D94)=FALSE,ISBLANK(Acciones!$H94)=TRUE),"Faltan fechas",IF(Acciones!$H94="","",IF(AND(Acciones!$H94&gt;=TODAY(),ISBLANK(Acciones!$J94)=TRUE),"En tiempo",IF(AND(Acciones!$H94&lt;TODAY(),Acciones!$J94=""),"Retrasado",IF(Acciones!$J94&gt;Acciones!$H94,"Cerrado con retraso","Cerrado")))))</f>
        <v/>
      </c>
      <c r="L94" s="61"/>
      <c r="M94" s="74"/>
      <c r="T94" s="25"/>
      <c r="U94" s="25"/>
    </row>
    <row r="95" spans="2:21" s="4" customFormat="1" ht="15" customHeight="1" x14ac:dyDescent="0.3">
      <c r="B95" s="53"/>
      <c r="C95" s="57"/>
      <c r="D95" s="61"/>
      <c r="E95" s="56"/>
      <c r="F95" s="53"/>
      <c r="G95" s="53" t="str">
        <f>IF(ISBLANK(Acciones!$H95)=TRUE," ",WEEKNUM(Acciones!$H95,21))</f>
        <v xml:space="preserve"> </v>
      </c>
      <c r="H95" s="63"/>
      <c r="I95" s="59"/>
      <c r="J95" s="63"/>
      <c r="K95" s="47" t="str">
        <f ca="1">IF(AND(ISBLANK(Acciones!$D95)=FALSE,ISBLANK(Acciones!$H95)=TRUE),"Faltan fechas",IF(Acciones!$H95="","",IF(AND(Acciones!$H95&gt;=TODAY(),ISBLANK(Acciones!$J95)=TRUE),"En tiempo",IF(AND(Acciones!$H95&lt;TODAY(),Acciones!$J95=""),"Retrasado",IF(Acciones!$J95&gt;Acciones!$H95,"Cerrado con retraso","Cerrado")))))</f>
        <v/>
      </c>
      <c r="L95" s="61"/>
      <c r="M95" s="74"/>
      <c r="T95" s="25"/>
      <c r="U95" s="25"/>
    </row>
    <row r="96" spans="2:21" s="4" customFormat="1" ht="15" customHeight="1" x14ac:dyDescent="0.3">
      <c r="B96" s="53"/>
      <c r="C96" s="57"/>
      <c r="D96" s="61"/>
      <c r="E96" s="56"/>
      <c r="F96" s="53"/>
      <c r="G96" s="53" t="str">
        <f>IF(ISBLANK(Acciones!$H96)=TRUE," ",WEEKNUM(Acciones!$H96,21))</f>
        <v xml:space="preserve"> </v>
      </c>
      <c r="H96" s="63"/>
      <c r="I96" s="59"/>
      <c r="J96" s="53"/>
      <c r="K96" s="47" t="str">
        <f ca="1">IF(AND(ISBLANK(Acciones!$D96)=FALSE,ISBLANK(Acciones!$H96)=TRUE),"Faltan fechas",IF(Acciones!$H96="","",IF(AND(Acciones!$H96&gt;=TODAY(),ISBLANK(Acciones!$J96)=TRUE),"En tiempo",IF(AND(Acciones!$H96&lt;TODAY(),Acciones!$J96=""),"Retrasado",IF(Acciones!$J96&gt;Acciones!$H96,"Cerrado con retraso","Cerrado")))))</f>
        <v/>
      </c>
      <c r="L96" s="61"/>
      <c r="M96" s="74"/>
      <c r="T96" s="25"/>
      <c r="U96" s="25"/>
    </row>
    <row r="97" spans="2:21" s="4" customFormat="1" ht="15" customHeight="1" x14ac:dyDescent="0.3">
      <c r="B97" s="53"/>
      <c r="C97" s="57"/>
      <c r="D97" s="61"/>
      <c r="E97" s="56"/>
      <c r="F97" s="53"/>
      <c r="G97" s="53" t="str">
        <f>IF(ISBLANK(Acciones!$H97)=TRUE," ",WEEKNUM(Acciones!$H97,21))</f>
        <v xml:space="preserve"> </v>
      </c>
      <c r="H97" s="63"/>
      <c r="I97" s="59"/>
      <c r="J97" s="53"/>
      <c r="K97" s="47" t="str">
        <f ca="1">IF(AND(ISBLANK(Acciones!$D97)=FALSE,ISBLANK(Acciones!$H97)=TRUE),"Faltan fechas",IF(Acciones!$H97="","",IF(AND(Acciones!$H97&gt;=TODAY(),ISBLANK(Acciones!$J97)=TRUE),"En tiempo",IF(AND(Acciones!$H97&lt;TODAY(),Acciones!$J97=""),"Retrasado",IF(Acciones!$J97&gt;Acciones!$H97,"Cerrado con retraso","Cerrado")))))</f>
        <v/>
      </c>
      <c r="L97" s="61"/>
      <c r="M97" s="74"/>
      <c r="T97" s="25"/>
      <c r="U97" s="25"/>
    </row>
    <row r="98" spans="2:21" s="4" customFormat="1" ht="15" customHeight="1" x14ac:dyDescent="0.3">
      <c r="B98" s="53"/>
      <c r="C98" s="57"/>
      <c r="D98" s="61"/>
      <c r="E98" s="56"/>
      <c r="F98" s="53"/>
      <c r="G98" s="53" t="str">
        <f>IF(ISBLANK(Acciones!$H98)=TRUE," ",WEEKNUM(Acciones!$H98,21))</f>
        <v xml:space="preserve"> </v>
      </c>
      <c r="H98" s="59"/>
      <c r="I98" s="64"/>
      <c r="J98" s="53"/>
      <c r="K98" s="47" t="str">
        <f ca="1">IF(AND(ISBLANK(Acciones!$D98)=FALSE,ISBLANK(Acciones!$H98)=TRUE),"Faltan fechas",IF(Acciones!$H98="","",IF(AND(Acciones!$H98&gt;=TODAY(),ISBLANK(Acciones!$J98)=TRUE),"En tiempo",IF(AND(Acciones!$H98&lt;TODAY(),Acciones!$J98=""),"Retrasado",IF(Acciones!$J98&gt;Acciones!$H98,"Cerrado con retraso","Cerrado")))))</f>
        <v/>
      </c>
      <c r="L98" s="61"/>
      <c r="M98" s="74"/>
      <c r="T98" s="25"/>
      <c r="U98" s="25"/>
    </row>
    <row r="99" spans="2:21" s="4" customFormat="1" ht="15" customHeight="1" x14ac:dyDescent="0.3">
      <c r="B99" s="53"/>
      <c r="C99" s="57"/>
      <c r="D99" s="61"/>
      <c r="E99" s="56"/>
      <c r="F99" s="53"/>
      <c r="G99" s="53" t="str">
        <f>IF(ISBLANK(Acciones!$H99)=TRUE," ",WEEKNUM(Acciones!$H99,21))</f>
        <v xml:space="preserve"> </v>
      </c>
      <c r="H99" s="59"/>
      <c r="I99" s="64"/>
      <c r="J99" s="59"/>
      <c r="K99" s="47" t="str">
        <f ca="1">IF(AND(ISBLANK(Acciones!$D99)=FALSE,ISBLANK(Acciones!$H99)=TRUE),"Faltan fechas",IF(Acciones!$H99="","",IF(AND(Acciones!$H99&gt;=TODAY(),ISBLANK(Acciones!$J99)=TRUE),"En tiempo",IF(AND(Acciones!$H99&lt;TODAY(),Acciones!$J99=""),"Retrasado",IF(Acciones!$J99&gt;Acciones!$H99,"Cerrado con retraso","Cerrado")))))</f>
        <v/>
      </c>
      <c r="L99" s="61"/>
      <c r="M99" s="74"/>
      <c r="T99" s="25"/>
      <c r="U99" s="25"/>
    </row>
    <row r="100" spans="2:21" s="4" customFormat="1" ht="15" customHeight="1" x14ac:dyDescent="0.3">
      <c r="B100" s="53"/>
      <c r="C100" s="57"/>
      <c r="D100" s="61"/>
      <c r="E100" s="56"/>
      <c r="F100" s="53"/>
      <c r="G100" s="53" t="str">
        <f>IF(ISBLANK(Acciones!$H100)=TRUE," ",WEEKNUM(Acciones!$H100,21))</f>
        <v xml:space="preserve"> </v>
      </c>
      <c r="H100" s="63"/>
      <c r="I100" s="64"/>
      <c r="J100" s="53"/>
      <c r="K100" s="47" t="str">
        <f ca="1">IF(AND(ISBLANK(Acciones!$D100)=FALSE,ISBLANK(Acciones!$H100)=TRUE),"Faltan fechas",IF(Acciones!$H100="","",IF(AND(Acciones!$H100&gt;=TODAY(),ISBLANK(Acciones!$J100)=TRUE),"En tiempo",IF(AND(Acciones!$H100&lt;TODAY(),Acciones!$J100=""),"Retrasado",IF(Acciones!$J100&gt;Acciones!$H100,"Cerrado con retraso","Cerrado")))))</f>
        <v/>
      </c>
      <c r="L100" s="61"/>
      <c r="M100" s="74"/>
      <c r="T100" s="25"/>
      <c r="U100" s="25"/>
    </row>
    <row r="101" spans="2:21" s="4" customFormat="1" ht="15" customHeight="1" x14ac:dyDescent="0.3">
      <c r="B101" s="53"/>
      <c r="C101" s="57"/>
      <c r="D101" s="61"/>
      <c r="E101" s="56"/>
      <c r="F101" s="53"/>
      <c r="G101" s="53" t="str">
        <f>IF(ISBLANK(Acciones!$H101)=TRUE," ",WEEKNUM(Acciones!$H101,21))</f>
        <v xml:space="preserve"> </v>
      </c>
      <c r="H101" s="59"/>
      <c r="I101" s="64"/>
      <c r="J101" s="54"/>
      <c r="K101" s="47" t="str">
        <f ca="1">IF(AND(ISBLANK(Acciones!$D101)=FALSE,ISBLANK(Acciones!$H101)=TRUE),"Faltan fechas",IF(Acciones!$H101="","",IF(AND(Acciones!$H101&gt;=TODAY(),ISBLANK(Acciones!$J101)=TRUE),"En tiempo",IF(AND(Acciones!$H101&lt;TODAY(),Acciones!$J101=""),"Retrasado",IF(Acciones!$J101&gt;Acciones!$H101,"Cerrado con retraso","Cerrado")))))</f>
        <v/>
      </c>
      <c r="L101" s="61"/>
      <c r="M101" s="74"/>
      <c r="T101" s="25"/>
      <c r="U101" s="25"/>
    </row>
    <row r="102" spans="2:21" s="4" customFormat="1" ht="15" customHeight="1" x14ac:dyDescent="0.3">
      <c r="B102" s="53"/>
      <c r="C102" s="57"/>
      <c r="D102" s="61"/>
      <c r="E102" s="56"/>
      <c r="F102" s="53"/>
      <c r="G102" s="53" t="str">
        <f>IF(ISBLANK(Acciones!$H102)=TRUE," ",WEEKNUM(Acciones!$H102,21))</f>
        <v xml:space="preserve"> </v>
      </c>
      <c r="H102" s="63"/>
      <c r="I102" s="64"/>
      <c r="J102" s="53"/>
      <c r="K102" s="47" t="str">
        <f ca="1">IF(AND(ISBLANK(Acciones!$D102)=FALSE,ISBLANK(Acciones!$H102)=TRUE),"Faltan fechas",IF(Acciones!$H102="","",IF(AND(Acciones!$H102&gt;=TODAY(),ISBLANK(Acciones!$J102)=TRUE),"En tiempo",IF(AND(Acciones!$H102&lt;TODAY(),Acciones!$J102=""),"Retrasado",IF(Acciones!$J102&gt;Acciones!$H102,"Cerrado con retraso","Cerrado")))))</f>
        <v/>
      </c>
      <c r="L102" s="61"/>
      <c r="M102" s="74"/>
      <c r="T102" s="25"/>
      <c r="U102" s="25"/>
    </row>
    <row r="103" spans="2:21" s="4" customFormat="1" ht="15" customHeight="1" x14ac:dyDescent="0.3">
      <c r="B103" s="53"/>
      <c r="C103" s="57"/>
      <c r="D103" s="61"/>
      <c r="E103" s="56"/>
      <c r="F103" s="56"/>
      <c r="G103" s="56" t="str">
        <f>IF(ISBLANK(Acciones!$H103)=TRUE," ",WEEKNUM(Acciones!$H103,21))</f>
        <v xml:space="preserve"> </v>
      </c>
      <c r="H103" s="59"/>
      <c r="I103" s="57"/>
      <c r="J103" s="59"/>
      <c r="K103" s="47" t="str">
        <f ca="1">IF(AND(ISBLANK(Acciones!$D103)=FALSE,ISBLANK(Acciones!$H103)=TRUE),"Faltan fechas",IF(Acciones!$H103="","",IF(AND(Acciones!$H103&gt;=TODAY(),ISBLANK(Acciones!$J103)=TRUE),"En tiempo",IF(AND(Acciones!$H103&lt;TODAY(),Acciones!$J103=""),"Retrasado",IF(Acciones!$J103&gt;Acciones!$H103,"Cerrado con retraso","Cerrado")))))</f>
        <v/>
      </c>
      <c r="L103" s="61"/>
      <c r="M103" s="74"/>
      <c r="T103" s="25"/>
      <c r="U103" s="25"/>
    </row>
    <row r="104" spans="2:21" s="4" customFormat="1" ht="15" customHeight="1" x14ac:dyDescent="0.3">
      <c r="B104" s="53"/>
      <c r="C104" s="57"/>
      <c r="D104" s="61"/>
      <c r="E104" s="56"/>
      <c r="F104" s="53"/>
      <c r="G104" s="53" t="str">
        <f>IF(ISBLANK(Acciones!$H104)=TRUE," ",WEEKNUM(Acciones!$H104,21))</f>
        <v xml:space="preserve"> </v>
      </c>
      <c r="H104" s="59"/>
      <c r="I104" s="59"/>
      <c r="J104" s="59"/>
      <c r="K104" s="47" t="str">
        <f ca="1">IF(AND(ISBLANK(Acciones!$D104)=FALSE,ISBLANK(Acciones!$H104)=TRUE),"Faltan fechas",IF(Acciones!$H104="","",IF(AND(Acciones!$H104&gt;=TODAY(),ISBLANK(Acciones!$J104)=TRUE),"En tiempo",IF(AND(Acciones!$H104&lt;TODAY(),Acciones!$J104=""),"Retrasado",IF(Acciones!$J104&gt;Acciones!$H104,"Cerrado con retraso","Cerrado")))))</f>
        <v/>
      </c>
      <c r="L104" s="61"/>
      <c r="M104" s="74"/>
      <c r="T104" s="25"/>
      <c r="U104" s="25"/>
    </row>
    <row r="105" spans="2:21" s="4" customFormat="1" ht="15" customHeight="1" x14ac:dyDescent="0.3">
      <c r="B105" s="53"/>
      <c r="C105" s="57"/>
      <c r="D105" s="61"/>
      <c r="E105" s="56"/>
      <c r="F105" s="53"/>
      <c r="G105" s="53" t="str">
        <f>IF(ISBLANK(Acciones!$H105)=TRUE," ",WEEKNUM(Acciones!$H105,21))</f>
        <v xml:space="preserve"> </v>
      </c>
      <c r="H105" s="63"/>
      <c r="I105" s="59"/>
      <c r="J105" s="53"/>
      <c r="K105" s="47" t="str">
        <f ca="1">IF(AND(ISBLANK(Acciones!$D105)=FALSE,ISBLANK(Acciones!$H105)=TRUE),"Faltan fechas",IF(Acciones!$H105="","",IF(AND(Acciones!$H105&gt;=TODAY(),ISBLANK(Acciones!$J105)=TRUE),"En tiempo",IF(AND(Acciones!$H105&lt;TODAY(),Acciones!$J105=""),"Retrasado",IF(Acciones!$J105&gt;Acciones!$H105,"Cerrado con retraso","Cerrado")))))</f>
        <v/>
      </c>
      <c r="L105" s="61"/>
      <c r="M105" s="74"/>
      <c r="T105" s="25"/>
      <c r="U105" s="25"/>
    </row>
    <row r="106" spans="2:21" s="4" customFormat="1" ht="15" customHeight="1" x14ac:dyDescent="0.3">
      <c r="B106" s="53"/>
      <c r="C106" s="57"/>
      <c r="D106" s="61"/>
      <c r="E106" s="56"/>
      <c r="F106" s="53"/>
      <c r="G106" s="53" t="str">
        <f>IF(ISBLANK(Acciones!$H106)=TRUE," ",WEEKNUM(Acciones!$H106,21))</f>
        <v xml:space="preserve"> </v>
      </c>
      <c r="H106" s="63"/>
      <c r="I106" s="59"/>
      <c r="J106" s="53"/>
      <c r="K106" s="47" t="str">
        <f ca="1">IF(AND(ISBLANK(Acciones!$D106)=FALSE,ISBLANK(Acciones!$H106)=TRUE),"Faltan fechas",IF(Acciones!$H106="","",IF(AND(Acciones!$H106&gt;=TODAY(),ISBLANK(Acciones!$J106)=TRUE),"En tiempo",IF(AND(Acciones!$H106&lt;TODAY(),Acciones!$J106=""),"Retrasado",IF(Acciones!$J106&gt;Acciones!$H106,"Cerrado con retraso","Cerrado")))))</f>
        <v/>
      </c>
      <c r="L106" s="61"/>
      <c r="M106" s="74"/>
      <c r="T106" s="25"/>
      <c r="U106" s="25"/>
    </row>
    <row r="107" spans="2:21" s="4" customFormat="1" ht="15" customHeight="1" x14ac:dyDescent="0.3">
      <c r="B107" s="53"/>
      <c r="C107" s="57"/>
      <c r="D107" s="61"/>
      <c r="E107" s="56"/>
      <c r="F107" s="53"/>
      <c r="G107" s="53" t="str">
        <f>IF(ISBLANK(Acciones!$H107)=TRUE," ",WEEKNUM(Acciones!$H107,21))</f>
        <v xml:space="preserve"> </v>
      </c>
      <c r="H107" s="63"/>
      <c r="I107" s="59"/>
      <c r="J107" s="53"/>
      <c r="K107" s="47" t="str">
        <f ca="1">IF(AND(ISBLANK(Acciones!$D107)=FALSE,ISBLANK(Acciones!$H107)=TRUE),"Faltan fechas",IF(Acciones!$H107="","",IF(AND(Acciones!$H107&gt;=TODAY(),ISBLANK(Acciones!$J107)=TRUE),"En tiempo",IF(AND(Acciones!$H107&lt;TODAY(),Acciones!$J107=""),"Retrasado",IF(Acciones!$J107&gt;Acciones!$H107,"Cerrado con retraso","Cerrado")))))</f>
        <v/>
      </c>
      <c r="L107" s="61"/>
      <c r="M107" s="74"/>
      <c r="T107" s="25"/>
      <c r="U107" s="25"/>
    </row>
    <row r="108" spans="2:21" s="4" customFormat="1" ht="15" customHeight="1" x14ac:dyDescent="0.3">
      <c r="B108" s="53"/>
      <c r="C108" s="57"/>
      <c r="D108" s="61"/>
      <c r="E108" s="56"/>
      <c r="F108" s="53"/>
      <c r="G108" s="53" t="str">
        <f>IF(ISBLANK(Acciones!$H108)=TRUE," ",WEEKNUM(Acciones!$H108,21))</f>
        <v xml:space="preserve"> </v>
      </c>
      <c r="H108" s="63"/>
      <c r="I108" s="59"/>
      <c r="J108" s="53"/>
      <c r="K108" s="47" t="str">
        <f ca="1">IF(AND(ISBLANK(Acciones!$D108)=FALSE,ISBLANK(Acciones!$H108)=TRUE),"Faltan fechas",IF(Acciones!$H108="","",IF(AND(Acciones!$H108&gt;=TODAY(),ISBLANK(Acciones!$J108)=TRUE),"En tiempo",IF(AND(Acciones!$H108&lt;TODAY(),Acciones!$J108=""),"Retrasado",IF(Acciones!$J108&gt;Acciones!$H108,"Cerrado con retraso","Cerrado")))))</f>
        <v/>
      </c>
      <c r="L108" s="61"/>
      <c r="M108" s="74"/>
      <c r="T108" s="25"/>
      <c r="U108" s="25"/>
    </row>
    <row r="109" spans="2:21" s="4" customFormat="1" ht="15" customHeight="1" x14ac:dyDescent="0.3">
      <c r="B109" s="53"/>
      <c r="C109" s="57"/>
      <c r="D109" s="61"/>
      <c r="E109" s="56"/>
      <c r="F109" s="53"/>
      <c r="G109" s="53" t="str">
        <f>IF(ISBLANK(Acciones!$H109)=TRUE," ",WEEKNUM(Acciones!$H109,21))</f>
        <v xml:space="preserve"> </v>
      </c>
      <c r="H109" s="53"/>
      <c r="I109" s="59"/>
      <c r="J109" s="53"/>
      <c r="K109" s="47" t="str">
        <f ca="1">IF(AND(ISBLANK(Acciones!$D109)=FALSE,ISBLANK(Acciones!$H109)=TRUE),"Faltan fechas",IF(Acciones!$H109="","",IF(AND(Acciones!$H109&gt;=TODAY(),ISBLANK(Acciones!$J109)=TRUE),"En tiempo",IF(AND(Acciones!$H109&lt;TODAY(),Acciones!$J109=""),"Retrasado",IF(Acciones!$J109&gt;Acciones!$H109,"Cerrado con retraso","Cerrado")))))</f>
        <v/>
      </c>
      <c r="L109" s="61"/>
      <c r="M109" s="74"/>
      <c r="T109" s="25"/>
      <c r="U109" s="25"/>
    </row>
    <row r="110" spans="2:21" s="4" customFormat="1" ht="15" customHeight="1" x14ac:dyDescent="0.3">
      <c r="B110" s="53"/>
      <c r="C110" s="57"/>
      <c r="D110" s="61"/>
      <c r="E110" s="56"/>
      <c r="F110" s="53"/>
      <c r="G110" s="53" t="str">
        <f>IF(ISBLANK(Acciones!$H110)=TRUE," ",WEEKNUM(Acciones!$H110,21))</f>
        <v xml:space="preserve"> </v>
      </c>
      <c r="H110" s="53"/>
      <c r="I110" s="59"/>
      <c r="J110" s="53"/>
      <c r="K110" s="47" t="str">
        <f ca="1">IF(AND(ISBLANK(Acciones!$D110)=FALSE,ISBLANK(Acciones!$H110)=TRUE),"Faltan fechas",IF(Acciones!$H110="","",IF(AND(Acciones!$H110&gt;=TODAY(),ISBLANK(Acciones!$J110)=TRUE),"En tiempo",IF(AND(Acciones!$H110&lt;TODAY(),Acciones!$J110=""),"Retrasado",IF(Acciones!$J110&gt;Acciones!$H110,"Cerrado con retraso","Cerrado")))))</f>
        <v/>
      </c>
      <c r="L110" s="61"/>
      <c r="M110" s="74"/>
      <c r="T110" s="25"/>
      <c r="U110" s="25"/>
    </row>
    <row r="111" spans="2:21" x14ac:dyDescent="0.3">
      <c r="B111" s="53"/>
      <c r="C111" s="65"/>
      <c r="D111" s="61"/>
      <c r="E111" s="56"/>
      <c r="F111" s="53"/>
      <c r="G111" s="53" t="str">
        <f>IF(ISBLANK(Acciones!$H111)=TRUE," ",WEEKNUM(Acciones!$H111,21))</f>
        <v xml:space="preserve"> </v>
      </c>
      <c r="H111" s="53"/>
      <c r="I111" s="66"/>
      <c r="J111" s="53"/>
      <c r="K111" s="48" t="str">
        <f ca="1">IF(AND(ISBLANK(Acciones!$D111)=FALSE,ISBLANK(Acciones!$H111)=TRUE),"Faltan fechas",IF(Acciones!$H111="","",IF(AND(Acciones!$H111&gt;=TODAY(),ISBLANK(Acciones!$J111)=TRUE),"En tiempo",IF(AND(Acciones!$H111&lt;TODAY(),Acciones!$J111=""),"Retrasado",IF(Acciones!$J111&gt;Acciones!$H111,"Cerrado con retraso","Cerrado")))))</f>
        <v/>
      </c>
      <c r="L111" s="61"/>
      <c r="M111" s="74"/>
      <c r="T111" s="22"/>
      <c r="U111" s="22"/>
    </row>
    <row r="112" spans="2:21" x14ac:dyDescent="0.3">
      <c r="B112" s="53"/>
      <c r="C112" s="65"/>
      <c r="D112" s="61"/>
      <c r="E112" s="56"/>
      <c r="F112" s="53"/>
      <c r="G112" s="53" t="str">
        <f>IF(ISBLANK(Acciones!$H112)=TRUE," ",WEEKNUM(Acciones!$H112,21))</f>
        <v xml:space="preserve"> </v>
      </c>
      <c r="H112" s="53"/>
      <c r="I112" s="66"/>
      <c r="J112" s="53"/>
      <c r="K112" s="48" t="str">
        <f ca="1">IF(AND(ISBLANK(Acciones!$D112)=FALSE,ISBLANK(Acciones!$H112)=TRUE),"Faltan fechas",IF(Acciones!$H112="","",IF(AND(Acciones!$H112&gt;=TODAY(),ISBLANK(Acciones!$J112)=TRUE),"En tiempo",IF(AND(Acciones!$H112&lt;TODAY(),Acciones!$J112=""),"Retrasado",IF(Acciones!$J112&gt;Acciones!$H112,"Cerrado con retraso","Cerrado")))))</f>
        <v/>
      </c>
      <c r="L112" s="61"/>
      <c r="M112" s="74"/>
      <c r="T112" s="22"/>
      <c r="U112" s="22"/>
    </row>
    <row r="113" spans="2:21" x14ac:dyDescent="0.3">
      <c r="B113" s="53"/>
      <c r="C113" s="65"/>
      <c r="D113" s="61"/>
      <c r="E113" s="56"/>
      <c r="F113" s="53"/>
      <c r="G113" s="53" t="str">
        <f>IF(ISBLANK(Acciones!$H113)=TRUE," ",WEEKNUM(Acciones!$H113,21))</f>
        <v xml:space="preserve"> </v>
      </c>
      <c r="H113" s="53"/>
      <c r="I113" s="66"/>
      <c r="J113" s="53"/>
      <c r="K113" s="48" t="str">
        <f ca="1">IF(AND(ISBLANK(Acciones!$D113)=FALSE,ISBLANK(Acciones!$H113)=TRUE),"Faltan fechas",IF(Acciones!$H113="","",IF(AND(Acciones!$H113&gt;=TODAY(),ISBLANK(Acciones!$J113)=TRUE),"En tiempo",IF(AND(Acciones!$H113&lt;TODAY(),Acciones!$J113=""),"Retrasado",IF(Acciones!$J113&gt;Acciones!$H113,"Cerrado con retraso","Cerrado")))))</f>
        <v/>
      </c>
      <c r="L113" s="61"/>
      <c r="M113" s="74"/>
      <c r="T113" s="22"/>
      <c r="U113" s="22"/>
    </row>
    <row r="114" spans="2:21" x14ac:dyDescent="0.3">
      <c r="B114" s="53"/>
      <c r="C114" s="65"/>
      <c r="D114" s="61"/>
      <c r="E114" s="56"/>
      <c r="F114" s="53"/>
      <c r="G114" s="53" t="str">
        <f>IF(ISBLANK(Acciones!$H114)=TRUE," ",WEEKNUM(Acciones!$H114,21))</f>
        <v xml:space="preserve"> </v>
      </c>
      <c r="H114" s="53"/>
      <c r="I114" s="66"/>
      <c r="J114" s="53"/>
      <c r="K114" s="48" t="str">
        <f ca="1">IF(AND(ISBLANK(Acciones!$D114)=FALSE,ISBLANK(Acciones!$H114)=TRUE),"Faltan fechas",IF(Acciones!$H114="","",IF(AND(Acciones!$H114&gt;=TODAY(),ISBLANK(Acciones!$J114)=TRUE),"En tiempo",IF(AND(Acciones!$H114&lt;TODAY(),Acciones!$J114=""),"Retrasado",IF(Acciones!$J114&gt;Acciones!$H114,"Cerrado con retraso","Cerrado")))))</f>
        <v/>
      </c>
      <c r="L114" s="61"/>
      <c r="M114" s="74"/>
      <c r="T114" s="22"/>
      <c r="U114" s="22"/>
    </row>
    <row r="115" spans="2:21" x14ac:dyDescent="0.3">
      <c r="B115" s="53"/>
      <c r="C115" s="65"/>
      <c r="D115" s="61"/>
      <c r="E115" s="56"/>
      <c r="F115" s="53"/>
      <c r="G115" s="53" t="str">
        <f>IF(ISBLANK(Acciones!$H115)=TRUE," ",WEEKNUM(Acciones!$H115,21))</f>
        <v xml:space="preserve"> </v>
      </c>
      <c r="H115" s="53"/>
      <c r="I115" s="66"/>
      <c r="J115" s="53"/>
      <c r="K115" s="48" t="str">
        <f ca="1">IF(AND(ISBLANK(Acciones!$D115)=FALSE,ISBLANK(Acciones!$H115)=TRUE),"Faltan fechas",IF(Acciones!$H115="","",IF(AND(Acciones!$H115&gt;=TODAY(),ISBLANK(Acciones!$J115)=TRUE),"En tiempo",IF(AND(Acciones!$H115&lt;TODAY(),Acciones!$J115=""),"Retrasado",IF(Acciones!$J115&gt;Acciones!$H115,"Cerrado con retraso","Cerrado")))))</f>
        <v/>
      </c>
      <c r="L115" s="61"/>
      <c r="M115" s="74"/>
      <c r="T115" s="22"/>
      <c r="U115" s="22"/>
    </row>
    <row r="116" spans="2:21" x14ac:dyDescent="0.3">
      <c r="B116" s="53"/>
      <c r="C116" s="65"/>
      <c r="D116" s="61"/>
      <c r="E116" s="56"/>
      <c r="F116" s="53"/>
      <c r="G116" s="53" t="str">
        <f>IF(ISBLANK(Acciones!$H116)=TRUE," ",WEEKNUM(Acciones!$H116,21))</f>
        <v xml:space="preserve"> </v>
      </c>
      <c r="H116" s="53"/>
      <c r="I116" s="66"/>
      <c r="J116" s="53"/>
      <c r="K116" s="48" t="str">
        <f ca="1">IF(AND(ISBLANK(Acciones!$D116)=FALSE,ISBLANK(Acciones!$H116)=TRUE),"Faltan fechas",IF(Acciones!$H116="","",IF(AND(Acciones!$H116&gt;=TODAY(),ISBLANK(Acciones!$J116)=TRUE),"En tiempo",IF(AND(Acciones!$H116&lt;TODAY(),Acciones!$J116=""),"Retrasado",IF(Acciones!$J116&gt;Acciones!$H116,"Cerrado con retraso","Cerrado")))))</f>
        <v/>
      </c>
      <c r="L116" s="61"/>
      <c r="M116" s="74"/>
      <c r="T116" s="22"/>
      <c r="U116" s="22"/>
    </row>
    <row r="117" spans="2:21" x14ac:dyDescent="0.3">
      <c r="B117" s="53"/>
      <c r="C117" s="65"/>
      <c r="D117" s="61"/>
      <c r="E117" s="56"/>
      <c r="F117" s="53"/>
      <c r="G117" s="53" t="str">
        <f>IF(ISBLANK(Acciones!$H117)=TRUE," ",WEEKNUM(Acciones!$H117,21))</f>
        <v xml:space="preserve"> </v>
      </c>
      <c r="H117" s="53"/>
      <c r="I117" s="66"/>
      <c r="J117" s="53"/>
      <c r="K117" s="48" t="str">
        <f ca="1">IF(AND(ISBLANK(Acciones!$D117)=FALSE,ISBLANK(Acciones!$H117)=TRUE),"Faltan fechas",IF(Acciones!$H117="","",IF(AND(Acciones!$H117&gt;=TODAY(),ISBLANK(Acciones!$J117)=TRUE),"En tiempo",IF(AND(Acciones!$H117&lt;TODAY(),Acciones!$J117=""),"Retrasado",IF(Acciones!$J117&gt;Acciones!$H117,"Cerrado con retraso","Cerrado")))))</f>
        <v/>
      </c>
      <c r="L117" s="61"/>
      <c r="M117" s="74"/>
      <c r="T117" s="22"/>
      <c r="U117" s="22"/>
    </row>
    <row r="118" spans="2:21" x14ac:dyDescent="0.3">
      <c r="B118" s="53"/>
      <c r="C118" s="65"/>
      <c r="D118" s="61"/>
      <c r="E118" s="56"/>
      <c r="F118" s="53"/>
      <c r="G118" s="53" t="str">
        <f>IF(ISBLANK(Acciones!$H118)=TRUE," ",WEEKNUM(Acciones!$H118,21))</f>
        <v xml:space="preserve"> </v>
      </c>
      <c r="H118" s="53"/>
      <c r="I118" s="66"/>
      <c r="J118" s="53"/>
      <c r="K118" s="48" t="str">
        <f ca="1">IF(AND(ISBLANK(Acciones!$D118)=FALSE,ISBLANK(Acciones!$H118)=TRUE),"Faltan fechas",IF(Acciones!$H118="","",IF(AND(Acciones!$H118&gt;=TODAY(),ISBLANK(Acciones!$J118)=TRUE),"En tiempo",IF(AND(Acciones!$H118&lt;TODAY(),Acciones!$J118=""),"Retrasado",IF(Acciones!$J118&gt;Acciones!$H118,"Cerrado con retraso","Cerrado")))))</f>
        <v/>
      </c>
      <c r="L118" s="61"/>
      <c r="M118" s="74"/>
      <c r="T118" s="22"/>
      <c r="U118" s="22"/>
    </row>
    <row r="119" spans="2:21" x14ac:dyDescent="0.3">
      <c r="B119" s="53"/>
      <c r="C119" s="65"/>
      <c r="D119" s="61"/>
      <c r="E119" s="56"/>
      <c r="F119" s="53"/>
      <c r="G119" s="53" t="str">
        <f>IF(ISBLANK(Acciones!$H119)=TRUE," ",WEEKNUM(Acciones!$H119,21))</f>
        <v xml:space="preserve"> </v>
      </c>
      <c r="H119" s="53"/>
      <c r="I119" s="66"/>
      <c r="J119" s="53"/>
      <c r="K119" s="48" t="str">
        <f ca="1">IF(AND(ISBLANK(Acciones!$D119)=FALSE,ISBLANK(Acciones!$H119)=TRUE),"Faltan fechas",IF(Acciones!$H119="","",IF(AND(Acciones!$H119&gt;=TODAY(),ISBLANK(Acciones!$J119)=TRUE),"En tiempo",IF(AND(Acciones!$H119&lt;TODAY(),Acciones!$J119=""),"Retrasado",IF(Acciones!$J119&gt;Acciones!$H119,"Cerrado con retraso","Cerrado")))))</f>
        <v/>
      </c>
      <c r="L119" s="61"/>
      <c r="M119" s="74"/>
      <c r="T119" s="22"/>
      <c r="U119" s="22"/>
    </row>
    <row r="120" spans="2:21" x14ac:dyDescent="0.3">
      <c r="B120" s="53"/>
      <c r="C120" s="65"/>
      <c r="D120" s="61"/>
      <c r="E120" s="56"/>
      <c r="F120" s="53"/>
      <c r="G120" s="53" t="str">
        <f>IF(ISBLANK(Acciones!$H120)=TRUE," ",WEEKNUM(Acciones!$H120,21))</f>
        <v xml:space="preserve"> </v>
      </c>
      <c r="H120" s="53"/>
      <c r="I120" s="66"/>
      <c r="J120" s="53"/>
      <c r="K120" s="48" t="str">
        <f ca="1">IF(AND(ISBLANK(Acciones!$D120)=FALSE,ISBLANK(Acciones!$H120)=TRUE),"Faltan fechas",IF(Acciones!$H120="","",IF(AND(Acciones!$H120&gt;=TODAY(),ISBLANK(Acciones!$J120)=TRUE),"En tiempo",IF(AND(Acciones!$H120&lt;TODAY(),Acciones!$J120=""),"Retrasado",IF(Acciones!$J120&gt;Acciones!$H120,"Cerrado con retraso","Cerrado")))))</f>
        <v/>
      </c>
      <c r="L120" s="61"/>
      <c r="M120" s="74"/>
      <c r="T120" s="22"/>
      <c r="U120" s="22"/>
    </row>
    <row r="121" spans="2:21" x14ac:dyDescent="0.3">
      <c r="B121" s="53"/>
      <c r="C121" s="65"/>
      <c r="D121" s="61"/>
      <c r="E121" s="56"/>
      <c r="F121" s="53"/>
      <c r="G121" s="53" t="str">
        <f>IF(ISBLANK(Acciones!$H121)=TRUE," ",WEEKNUM(Acciones!$H121,21))</f>
        <v xml:space="preserve"> </v>
      </c>
      <c r="H121" s="53"/>
      <c r="I121" s="66"/>
      <c r="J121" s="53"/>
      <c r="K121" s="48" t="str">
        <f ca="1">IF(AND(ISBLANK(Acciones!$D121)=FALSE,ISBLANK(Acciones!$H121)=TRUE),"Faltan fechas",IF(Acciones!$H121="","",IF(AND(Acciones!$H121&gt;=TODAY(),ISBLANK(Acciones!$J121)=TRUE),"En tiempo",IF(AND(Acciones!$H121&lt;TODAY(),Acciones!$J121=""),"Retrasado",IF(Acciones!$J121&gt;Acciones!$H121,"Cerrado con retraso","Cerrado")))))</f>
        <v/>
      </c>
      <c r="L121" s="61"/>
      <c r="M121" s="74"/>
      <c r="T121" s="22"/>
      <c r="U121" s="22"/>
    </row>
    <row r="122" spans="2:21" x14ac:dyDescent="0.3">
      <c r="B122" s="53"/>
      <c r="C122" s="65"/>
      <c r="D122" s="61"/>
      <c r="E122" s="56"/>
      <c r="F122" s="53"/>
      <c r="G122" s="53" t="str">
        <f>IF(ISBLANK(Acciones!$H122)=TRUE," ",WEEKNUM(Acciones!$H122,21))</f>
        <v xml:space="preserve"> </v>
      </c>
      <c r="H122" s="53"/>
      <c r="I122" s="66"/>
      <c r="J122" s="53"/>
      <c r="K122" s="48" t="str">
        <f ca="1">IF(AND(ISBLANK(Acciones!$D122)=FALSE,ISBLANK(Acciones!$H122)=TRUE),"Faltan fechas",IF(Acciones!$H122="","",IF(AND(Acciones!$H122&gt;=TODAY(),ISBLANK(Acciones!$J122)=TRUE),"En tiempo",IF(AND(Acciones!$H122&lt;TODAY(),Acciones!$J122=""),"Retrasado",IF(Acciones!$J122&gt;Acciones!$H122,"Cerrado con retraso","Cerrado")))))</f>
        <v/>
      </c>
      <c r="L122" s="61"/>
      <c r="M122" s="74"/>
      <c r="T122" s="22"/>
      <c r="U122" s="22"/>
    </row>
    <row r="123" spans="2:21" x14ac:dyDescent="0.3">
      <c r="B123" s="53"/>
      <c r="C123" s="65"/>
      <c r="D123" s="61"/>
      <c r="E123" s="56"/>
      <c r="F123" s="53"/>
      <c r="G123" s="53" t="str">
        <f>IF(ISBLANK(Acciones!$H123)=TRUE," ",WEEKNUM(Acciones!$H123,21))</f>
        <v xml:space="preserve"> </v>
      </c>
      <c r="H123" s="53"/>
      <c r="I123" s="66"/>
      <c r="J123" s="53"/>
      <c r="K123" s="48" t="str">
        <f ca="1">IF(AND(ISBLANK(Acciones!$D123)=FALSE,ISBLANK(Acciones!$H123)=TRUE),"Faltan fechas",IF(Acciones!$H123="","",IF(AND(Acciones!$H123&gt;=TODAY(),ISBLANK(Acciones!$J123)=TRUE),"En tiempo",IF(AND(Acciones!$H123&lt;TODAY(),Acciones!$J123=""),"Retrasado",IF(Acciones!$J123&gt;Acciones!$H123,"Cerrado con retraso","Cerrado")))))</f>
        <v/>
      </c>
      <c r="L123" s="61"/>
      <c r="M123" s="74"/>
      <c r="T123" s="22"/>
      <c r="U123" s="22"/>
    </row>
    <row r="124" spans="2:21" x14ac:dyDescent="0.3">
      <c r="B124" s="53"/>
      <c r="C124" s="65"/>
      <c r="D124" s="61"/>
      <c r="E124" s="56"/>
      <c r="F124" s="53"/>
      <c r="G124" s="53" t="str">
        <f>IF(ISBLANK(Acciones!$H124)=TRUE," ",WEEKNUM(Acciones!$H124,21))</f>
        <v xml:space="preserve"> </v>
      </c>
      <c r="H124" s="53"/>
      <c r="I124" s="66"/>
      <c r="J124" s="53"/>
      <c r="K124" s="48" t="str">
        <f ca="1">IF(AND(ISBLANK(Acciones!$D124)=FALSE,ISBLANK(Acciones!$H124)=TRUE),"Faltan fechas",IF(Acciones!$H124="","",IF(AND(Acciones!$H124&gt;=TODAY(),ISBLANK(Acciones!$J124)=TRUE),"En tiempo",IF(AND(Acciones!$H124&lt;TODAY(),Acciones!$J124=""),"Retrasado",IF(Acciones!$J124&gt;Acciones!$H124,"Cerrado con retraso","Cerrado")))))</f>
        <v/>
      </c>
      <c r="L124" s="61"/>
      <c r="M124" s="74"/>
      <c r="T124" s="22"/>
      <c r="U124" s="22"/>
    </row>
    <row r="125" spans="2:21" x14ac:dyDescent="0.3">
      <c r="B125" s="53"/>
      <c r="C125" s="65"/>
      <c r="D125" s="61"/>
      <c r="E125" s="56"/>
      <c r="F125" s="53"/>
      <c r="G125" s="53" t="str">
        <f>IF(ISBLANK(Acciones!$H125)=TRUE," ",WEEKNUM(Acciones!$H125,21))</f>
        <v xml:space="preserve"> </v>
      </c>
      <c r="H125" s="53"/>
      <c r="I125" s="66"/>
      <c r="J125" s="53"/>
      <c r="K125" s="48" t="str">
        <f ca="1">IF(AND(ISBLANK(Acciones!$D125)=FALSE,ISBLANK(Acciones!$H125)=TRUE),"Faltan fechas",IF(Acciones!$H125="","",IF(AND(Acciones!$H125&gt;=TODAY(),ISBLANK(Acciones!$J125)=TRUE),"En tiempo",IF(AND(Acciones!$H125&lt;TODAY(),Acciones!$J125=""),"Retrasado",IF(Acciones!$J125&gt;Acciones!$H125,"Cerrado con retraso","Cerrado")))))</f>
        <v/>
      </c>
      <c r="L125" s="61"/>
      <c r="M125" s="74"/>
      <c r="T125" s="22"/>
      <c r="U125" s="22"/>
    </row>
    <row r="126" spans="2:21" x14ac:dyDescent="0.3">
      <c r="B126" s="53"/>
      <c r="C126" s="65"/>
      <c r="D126" s="61"/>
      <c r="E126" s="56"/>
      <c r="F126" s="53"/>
      <c r="G126" s="53" t="str">
        <f>IF(ISBLANK(Acciones!$H126)=TRUE," ",WEEKNUM(Acciones!$H126,21))</f>
        <v xml:space="preserve"> </v>
      </c>
      <c r="H126" s="53"/>
      <c r="I126" s="66"/>
      <c r="J126" s="53"/>
      <c r="K126" s="48" t="str">
        <f ca="1">IF(AND(ISBLANK(Acciones!$D126)=FALSE,ISBLANK(Acciones!$H126)=TRUE),"Faltan fechas",IF(Acciones!$H126="","",IF(AND(Acciones!$H126&gt;=TODAY(),ISBLANK(Acciones!$J126)=TRUE),"En tiempo",IF(AND(Acciones!$H126&lt;TODAY(),Acciones!$J126=""),"Retrasado",IF(Acciones!$J126&gt;Acciones!$H126,"Cerrado con retraso","Cerrado")))))</f>
        <v/>
      </c>
      <c r="L126" s="61"/>
      <c r="M126" s="74"/>
      <c r="T126" s="22"/>
      <c r="U126" s="22"/>
    </row>
    <row r="127" spans="2:21" x14ac:dyDescent="0.3">
      <c r="B127" s="53"/>
      <c r="C127" s="65"/>
      <c r="D127" s="61"/>
      <c r="E127" s="56"/>
      <c r="F127" s="53"/>
      <c r="G127" s="53" t="str">
        <f>IF(ISBLANK(Acciones!$H127)=TRUE," ",WEEKNUM(Acciones!$H127,21))</f>
        <v xml:space="preserve"> </v>
      </c>
      <c r="H127" s="53"/>
      <c r="I127" s="66"/>
      <c r="J127" s="53"/>
      <c r="K127" s="48" t="str">
        <f ca="1">IF(AND(ISBLANK(Acciones!$D127)=FALSE,ISBLANK(Acciones!$H127)=TRUE),"Faltan fechas",IF(Acciones!$H127="","",IF(AND(Acciones!$H127&gt;=TODAY(),ISBLANK(Acciones!$J127)=TRUE),"En tiempo",IF(AND(Acciones!$H127&lt;TODAY(),Acciones!$J127=""),"Retrasado",IF(Acciones!$J127&gt;Acciones!$H127,"Cerrado con retraso","Cerrado")))))</f>
        <v/>
      </c>
      <c r="L127" s="61"/>
      <c r="M127" s="74"/>
      <c r="T127" s="22"/>
      <c r="U127" s="22"/>
    </row>
    <row r="128" spans="2:21" x14ac:dyDescent="0.3">
      <c r="B128" s="53"/>
      <c r="C128" s="65"/>
      <c r="D128" s="61"/>
      <c r="E128" s="56"/>
      <c r="F128" s="53"/>
      <c r="G128" s="53" t="str">
        <f>IF(ISBLANK(Acciones!$H128)=TRUE," ",WEEKNUM(Acciones!$H128,21))</f>
        <v xml:space="preserve"> </v>
      </c>
      <c r="H128" s="53"/>
      <c r="I128" s="66"/>
      <c r="J128" s="53"/>
      <c r="K128" s="48" t="str">
        <f ca="1">IF(AND(ISBLANK(Acciones!$D128)=FALSE,ISBLANK(Acciones!$H128)=TRUE),"Faltan fechas",IF(Acciones!$H128="","",IF(AND(Acciones!$H128&gt;=TODAY(),ISBLANK(Acciones!$J128)=TRUE),"En tiempo",IF(AND(Acciones!$H128&lt;TODAY(),Acciones!$J128=""),"Retrasado",IF(Acciones!$J128&gt;Acciones!$H128,"Cerrado con retraso","Cerrado")))))</f>
        <v/>
      </c>
      <c r="L128" s="61"/>
      <c r="M128" s="74"/>
      <c r="T128" s="22"/>
      <c r="U128" s="22"/>
    </row>
    <row r="129" spans="2:21" x14ac:dyDescent="0.3">
      <c r="B129" s="53"/>
      <c r="C129" s="65"/>
      <c r="D129" s="61"/>
      <c r="E129" s="56"/>
      <c r="F129" s="53"/>
      <c r="G129" s="53" t="str">
        <f>IF(ISBLANK(Acciones!$H129)=TRUE," ",WEEKNUM(Acciones!$H129,21))</f>
        <v xml:space="preserve"> </v>
      </c>
      <c r="H129" s="53"/>
      <c r="I129" s="66"/>
      <c r="J129" s="53"/>
      <c r="K129" s="48" t="str">
        <f ca="1">IF(AND(ISBLANK(Acciones!$D129)=FALSE,ISBLANK(Acciones!$H129)=TRUE),"Faltan fechas",IF(Acciones!$H129="","",IF(AND(Acciones!$H129&gt;=TODAY(),ISBLANK(Acciones!$J129)=TRUE),"En tiempo",IF(AND(Acciones!$H129&lt;TODAY(),Acciones!$J129=""),"Retrasado",IF(Acciones!$J129&gt;Acciones!$H129,"Cerrado con retraso","Cerrado")))))</f>
        <v/>
      </c>
      <c r="L129" s="61"/>
      <c r="M129" s="74"/>
      <c r="T129" s="22"/>
      <c r="U129" s="22"/>
    </row>
    <row r="130" spans="2:21" x14ac:dyDescent="0.3">
      <c r="B130" s="53"/>
      <c r="C130" s="65"/>
      <c r="D130" s="61"/>
      <c r="E130" s="56"/>
      <c r="F130" s="53"/>
      <c r="G130" s="53" t="str">
        <f>IF(ISBLANK(Acciones!$H130)=TRUE," ",WEEKNUM(Acciones!$H130,21))</f>
        <v xml:space="preserve"> </v>
      </c>
      <c r="H130" s="53"/>
      <c r="I130" s="66"/>
      <c r="J130" s="53"/>
      <c r="K130" s="48" t="str">
        <f ca="1">IF(AND(ISBLANK(Acciones!$D130)=FALSE,ISBLANK(Acciones!$H130)=TRUE),"Faltan fechas",IF(Acciones!$H130="","",IF(AND(Acciones!$H130&gt;=TODAY(),ISBLANK(Acciones!$J130)=TRUE),"En tiempo",IF(AND(Acciones!$H130&lt;TODAY(),Acciones!$J130=""),"Retrasado",IF(Acciones!$J130&gt;Acciones!$H130,"Cerrado con retraso","Cerrado")))))</f>
        <v/>
      </c>
      <c r="L130" s="61"/>
      <c r="M130" s="74"/>
      <c r="T130" s="22"/>
      <c r="U130" s="22"/>
    </row>
    <row r="131" spans="2:21" x14ac:dyDescent="0.3">
      <c r="B131" s="53"/>
      <c r="C131" s="65"/>
      <c r="D131" s="61"/>
      <c r="E131" s="56"/>
      <c r="F131" s="53"/>
      <c r="G131" s="53" t="str">
        <f>IF(ISBLANK(Acciones!$H131)=TRUE," ",WEEKNUM(Acciones!$H131,21))</f>
        <v xml:space="preserve"> </v>
      </c>
      <c r="H131" s="53"/>
      <c r="I131" s="66"/>
      <c r="J131" s="53"/>
      <c r="K131" s="48" t="str">
        <f ca="1">IF(AND(ISBLANK(Acciones!$D131)=FALSE,ISBLANK(Acciones!$H131)=TRUE),"Faltan fechas",IF(Acciones!$H131="","",IF(AND(Acciones!$H131&gt;=TODAY(),ISBLANK(Acciones!$J131)=TRUE),"En tiempo",IF(AND(Acciones!$H131&lt;TODAY(),Acciones!$J131=""),"Retrasado",IF(Acciones!$J131&gt;Acciones!$H131,"Cerrado con retraso","Cerrado")))))</f>
        <v/>
      </c>
      <c r="L131" s="61"/>
      <c r="M131" s="74"/>
      <c r="T131" s="22"/>
      <c r="U131" s="22"/>
    </row>
    <row r="132" spans="2:21" x14ac:dyDescent="0.3">
      <c r="B132" s="53"/>
      <c r="C132" s="65"/>
      <c r="D132" s="61"/>
      <c r="E132" s="56"/>
      <c r="F132" s="53"/>
      <c r="G132" s="53" t="str">
        <f>IF(ISBLANK(Acciones!$H132)=TRUE," ",WEEKNUM(Acciones!$H132,21))</f>
        <v xml:space="preserve"> </v>
      </c>
      <c r="H132" s="53"/>
      <c r="I132" s="66"/>
      <c r="J132" s="53"/>
      <c r="K132" s="48" t="str">
        <f ca="1">IF(AND(ISBLANK(Acciones!$D132)=FALSE,ISBLANK(Acciones!$H132)=TRUE),"Faltan fechas",IF(Acciones!$H132="","",IF(AND(Acciones!$H132&gt;=TODAY(),ISBLANK(Acciones!$J132)=TRUE),"En tiempo",IF(AND(Acciones!$H132&lt;TODAY(),Acciones!$J132=""),"Retrasado",IF(Acciones!$J132&gt;Acciones!$H132,"Cerrado con retraso","Cerrado")))))</f>
        <v/>
      </c>
      <c r="L132" s="61"/>
      <c r="M132" s="74"/>
      <c r="T132" s="22"/>
      <c r="U132" s="22"/>
    </row>
    <row r="133" spans="2:21" x14ac:dyDescent="0.3">
      <c r="B133" s="53"/>
      <c r="C133" s="65"/>
      <c r="D133" s="61"/>
      <c r="E133" s="56"/>
      <c r="F133" s="53"/>
      <c r="G133" s="53" t="str">
        <f>IF(ISBLANK(Acciones!$H133)=TRUE," ",WEEKNUM(Acciones!$H133,21))</f>
        <v xml:space="preserve"> </v>
      </c>
      <c r="H133" s="53"/>
      <c r="I133" s="66"/>
      <c r="J133" s="53"/>
      <c r="K133" s="48" t="str">
        <f ca="1">IF(AND(ISBLANK(Acciones!$D133)=FALSE,ISBLANK(Acciones!$H133)=TRUE),"Faltan fechas",IF(Acciones!$H133="","",IF(AND(Acciones!$H133&gt;=TODAY(),ISBLANK(Acciones!$J133)=TRUE),"En tiempo",IF(AND(Acciones!$H133&lt;TODAY(),Acciones!$J133=""),"Retrasado",IF(Acciones!$J133&gt;Acciones!$H133,"Cerrado con retraso","Cerrado")))))</f>
        <v/>
      </c>
      <c r="L133" s="61"/>
      <c r="M133" s="74"/>
      <c r="T133" s="22"/>
      <c r="U133" s="22"/>
    </row>
    <row r="134" spans="2:21" x14ac:dyDescent="0.3">
      <c r="B134" s="53"/>
      <c r="C134" s="65"/>
      <c r="D134" s="61"/>
      <c r="E134" s="56"/>
      <c r="F134" s="53"/>
      <c r="G134" s="53" t="str">
        <f>IF(ISBLANK(Acciones!$H134)=TRUE," ",WEEKNUM(Acciones!$H134,21))</f>
        <v xml:space="preserve"> </v>
      </c>
      <c r="H134" s="53"/>
      <c r="I134" s="66"/>
      <c r="J134" s="53"/>
      <c r="K134" s="48" t="str">
        <f ca="1">IF(AND(ISBLANK(Acciones!$D134)=FALSE,ISBLANK(Acciones!$H134)=TRUE),"Faltan fechas",IF(Acciones!$H134="","",IF(AND(Acciones!$H134&gt;=TODAY(),ISBLANK(Acciones!$J134)=TRUE),"En tiempo",IF(AND(Acciones!$H134&lt;TODAY(),Acciones!$J134=""),"Retrasado",IF(Acciones!$J134&gt;Acciones!$H134,"Cerrado con retraso","Cerrado")))))</f>
        <v/>
      </c>
      <c r="L134" s="61"/>
      <c r="M134" s="74"/>
      <c r="T134" s="22"/>
      <c r="U134" s="22"/>
    </row>
    <row r="135" spans="2:21" x14ac:dyDescent="0.3">
      <c r="B135" s="53"/>
      <c r="C135" s="65"/>
      <c r="D135" s="61"/>
      <c r="E135" s="56"/>
      <c r="F135" s="53"/>
      <c r="G135" s="53" t="str">
        <f>IF(ISBLANK(Acciones!$H135)=TRUE," ",WEEKNUM(Acciones!$H135,21))</f>
        <v xml:space="preserve"> </v>
      </c>
      <c r="H135" s="53"/>
      <c r="I135" s="66"/>
      <c r="J135" s="53"/>
      <c r="K135" s="48" t="str">
        <f ca="1">IF(AND(ISBLANK(Acciones!$D135)=FALSE,ISBLANK(Acciones!$H135)=TRUE),"Faltan fechas",IF(Acciones!$H135="","",IF(AND(Acciones!$H135&gt;=TODAY(),ISBLANK(Acciones!$J135)=TRUE),"En tiempo",IF(AND(Acciones!$H135&lt;TODAY(),Acciones!$J135=""),"Retrasado",IF(Acciones!$J135&gt;Acciones!$H135,"Cerrado con retraso","Cerrado")))))</f>
        <v/>
      </c>
      <c r="L135" s="61"/>
      <c r="M135" s="74"/>
      <c r="T135" s="22"/>
      <c r="U135" s="22"/>
    </row>
    <row r="136" spans="2:21" x14ac:dyDescent="0.3">
      <c r="B136" s="53"/>
      <c r="C136" s="65"/>
      <c r="D136" s="61"/>
      <c r="E136" s="56"/>
      <c r="F136" s="53"/>
      <c r="G136" s="53" t="str">
        <f>IF(ISBLANK(Acciones!$H136)=TRUE," ",WEEKNUM(Acciones!$H136,21))</f>
        <v xml:space="preserve"> </v>
      </c>
      <c r="H136" s="53"/>
      <c r="I136" s="66"/>
      <c r="J136" s="53"/>
      <c r="K136" s="48" t="str">
        <f ca="1">IF(AND(ISBLANK(Acciones!$D136)=FALSE,ISBLANK(Acciones!$H136)=TRUE),"Faltan fechas",IF(Acciones!$H136="","",IF(AND(Acciones!$H136&gt;=TODAY(),ISBLANK(Acciones!$J136)=TRUE),"En tiempo",IF(AND(Acciones!$H136&lt;TODAY(),Acciones!$J136=""),"Retrasado",IF(Acciones!$J136&gt;Acciones!$H136,"Cerrado con retraso","Cerrado")))))</f>
        <v/>
      </c>
      <c r="L136" s="61"/>
      <c r="M136" s="74"/>
      <c r="T136" s="22"/>
      <c r="U136" s="22"/>
    </row>
    <row r="137" spans="2:21" x14ac:dyDescent="0.3">
      <c r="B137" s="53"/>
      <c r="C137" s="65"/>
      <c r="D137" s="61"/>
      <c r="E137" s="56"/>
      <c r="F137" s="53"/>
      <c r="G137" s="53" t="str">
        <f>IF(ISBLANK(Acciones!$H137)=TRUE," ",WEEKNUM(Acciones!$H137,21))</f>
        <v xml:space="preserve"> </v>
      </c>
      <c r="H137" s="53"/>
      <c r="I137" s="66"/>
      <c r="J137" s="53"/>
      <c r="K137" s="48" t="str">
        <f ca="1">IF(AND(ISBLANK(Acciones!$D137)=FALSE,ISBLANK(Acciones!$H137)=TRUE),"Faltan fechas",IF(Acciones!$H137="","",IF(AND(Acciones!$H137&gt;=TODAY(),ISBLANK(Acciones!$J137)=TRUE),"En tiempo",IF(AND(Acciones!$H137&lt;TODAY(),Acciones!$J137=""),"Retrasado",IF(Acciones!$J137&gt;Acciones!$H137,"Cerrado con retraso","Cerrado")))))</f>
        <v/>
      </c>
      <c r="L137" s="61"/>
      <c r="M137" s="74"/>
      <c r="T137" s="22"/>
      <c r="U137" s="22"/>
    </row>
    <row r="138" spans="2:21" x14ac:dyDescent="0.3">
      <c r="B138" s="53"/>
      <c r="C138" s="65"/>
      <c r="D138" s="61"/>
      <c r="E138" s="56"/>
      <c r="F138" s="53"/>
      <c r="G138" s="53" t="str">
        <f>IF(ISBLANK(Acciones!$H138)=TRUE," ",WEEKNUM(Acciones!$H138,21))</f>
        <v xml:space="preserve"> </v>
      </c>
      <c r="H138" s="53"/>
      <c r="I138" s="66"/>
      <c r="J138" s="53"/>
      <c r="K138" s="48" t="str">
        <f ca="1">IF(AND(ISBLANK(Acciones!$D138)=FALSE,ISBLANK(Acciones!$H138)=TRUE),"Faltan fechas",IF(Acciones!$H138="","",IF(AND(Acciones!$H138&gt;=TODAY(),ISBLANK(Acciones!$J138)=TRUE),"En tiempo",IF(AND(Acciones!$H138&lt;TODAY(),Acciones!$J138=""),"Retrasado",IF(Acciones!$J138&gt;Acciones!$H138,"Cerrado con retraso","Cerrado")))))</f>
        <v/>
      </c>
      <c r="L138" s="61"/>
      <c r="M138" s="74"/>
      <c r="T138" s="22"/>
      <c r="U138" s="22"/>
    </row>
    <row r="139" spans="2:21" x14ac:dyDescent="0.3">
      <c r="B139" s="53"/>
      <c r="C139" s="65"/>
      <c r="D139" s="61"/>
      <c r="E139" s="56"/>
      <c r="F139" s="53"/>
      <c r="G139" s="53" t="str">
        <f>IF(ISBLANK(Acciones!$H139)=TRUE," ",WEEKNUM(Acciones!$H139,21))</f>
        <v xml:space="preserve"> </v>
      </c>
      <c r="H139" s="53"/>
      <c r="I139" s="66"/>
      <c r="J139" s="53"/>
      <c r="K139" s="48" t="str">
        <f ca="1">IF(AND(ISBLANK(Acciones!$D139)=FALSE,ISBLANK(Acciones!$H139)=TRUE),"Faltan fechas",IF(Acciones!$H139="","",IF(AND(Acciones!$H139&gt;=TODAY(),ISBLANK(Acciones!$J139)=TRUE),"En tiempo",IF(AND(Acciones!$H139&lt;TODAY(),Acciones!$J139=""),"Retrasado",IF(Acciones!$J139&gt;Acciones!$H139,"Cerrado con retraso","Cerrado")))))</f>
        <v/>
      </c>
      <c r="L139" s="61"/>
      <c r="M139" s="74"/>
      <c r="T139" s="22"/>
      <c r="U139" s="22"/>
    </row>
    <row r="140" spans="2:21" x14ac:dyDescent="0.3">
      <c r="B140" s="53"/>
      <c r="C140" s="65"/>
      <c r="D140" s="61"/>
      <c r="E140" s="56"/>
      <c r="F140" s="53"/>
      <c r="G140" s="53" t="str">
        <f>IF(ISBLANK(Acciones!$H140)=TRUE," ",WEEKNUM(Acciones!$H140,21))</f>
        <v xml:space="preserve"> </v>
      </c>
      <c r="H140" s="53"/>
      <c r="I140" s="66"/>
      <c r="J140" s="53"/>
      <c r="K140" s="48" t="str">
        <f ca="1">IF(AND(ISBLANK(Acciones!$D140)=FALSE,ISBLANK(Acciones!$H140)=TRUE),"Faltan fechas",IF(Acciones!$H140="","",IF(AND(Acciones!$H140&gt;=TODAY(),ISBLANK(Acciones!$J140)=TRUE),"En tiempo",IF(AND(Acciones!$H140&lt;TODAY(),Acciones!$J140=""),"Retrasado",IF(Acciones!$J140&gt;Acciones!$H140,"Cerrado con retraso","Cerrado")))))</f>
        <v/>
      </c>
      <c r="L140" s="61"/>
      <c r="M140" s="74"/>
      <c r="T140" s="22"/>
      <c r="U140" s="22"/>
    </row>
    <row r="141" spans="2:21" x14ac:dyDescent="0.3">
      <c r="B141" s="53"/>
      <c r="C141" s="65"/>
      <c r="D141" s="61"/>
      <c r="E141" s="56"/>
      <c r="F141" s="53"/>
      <c r="G141" s="53" t="str">
        <f>IF(ISBLANK(Acciones!$H141)=TRUE," ",WEEKNUM(Acciones!$H141,21))</f>
        <v xml:space="preserve"> </v>
      </c>
      <c r="H141" s="53"/>
      <c r="I141" s="66"/>
      <c r="J141" s="53"/>
      <c r="K141" s="48" t="str">
        <f ca="1">IF(AND(ISBLANK(Acciones!$D141)=FALSE,ISBLANK(Acciones!$H141)=TRUE),"Faltan fechas",IF(Acciones!$H141="","",IF(AND(Acciones!$H141&gt;=TODAY(),ISBLANK(Acciones!$J141)=TRUE),"En tiempo",IF(AND(Acciones!$H141&lt;TODAY(),Acciones!$J141=""),"Retrasado",IF(Acciones!$J141&gt;Acciones!$H141,"Cerrado con retraso","Cerrado")))))</f>
        <v/>
      </c>
      <c r="L141" s="61"/>
      <c r="M141" s="74"/>
      <c r="T141" s="22"/>
      <c r="U141" s="22"/>
    </row>
    <row r="142" spans="2:21" x14ac:dyDescent="0.3">
      <c r="B142" s="53"/>
      <c r="C142" s="65"/>
      <c r="D142" s="61"/>
      <c r="E142" s="56"/>
      <c r="F142" s="53"/>
      <c r="G142" s="53" t="str">
        <f>IF(ISBLANK(Acciones!$H142)=TRUE," ",WEEKNUM(Acciones!$H142,21))</f>
        <v xml:space="preserve"> </v>
      </c>
      <c r="H142" s="53"/>
      <c r="I142" s="66"/>
      <c r="J142" s="53"/>
      <c r="K142" s="48" t="str">
        <f ca="1">IF(AND(ISBLANK(Acciones!$D142)=FALSE,ISBLANK(Acciones!$H142)=TRUE),"Faltan fechas",IF(Acciones!$H142="","",IF(AND(Acciones!$H142&gt;=TODAY(),ISBLANK(Acciones!$J142)=TRUE),"En tiempo",IF(AND(Acciones!$H142&lt;TODAY(),Acciones!$J142=""),"Retrasado",IF(Acciones!$J142&gt;Acciones!$H142,"Cerrado con retraso","Cerrado")))))</f>
        <v/>
      </c>
      <c r="L142" s="61"/>
      <c r="M142" s="74"/>
      <c r="T142" s="22"/>
      <c r="U142" s="22"/>
    </row>
    <row r="143" spans="2:21" x14ac:dyDescent="0.3">
      <c r="B143" s="53"/>
      <c r="C143" s="65"/>
      <c r="D143" s="61"/>
      <c r="E143" s="56"/>
      <c r="F143" s="53"/>
      <c r="G143" s="53" t="str">
        <f>IF(ISBLANK(Acciones!$H143)=TRUE," ",WEEKNUM(Acciones!$H143,21))</f>
        <v xml:space="preserve"> </v>
      </c>
      <c r="H143" s="53"/>
      <c r="I143" s="66"/>
      <c r="J143" s="53"/>
      <c r="K143" s="48" t="str">
        <f ca="1">IF(AND(ISBLANK(Acciones!$D143)=FALSE,ISBLANK(Acciones!$H143)=TRUE),"Faltan fechas",IF(Acciones!$H143="","",IF(AND(Acciones!$H143&gt;=TODAY(),ISBLANK(Acciones!$J143)=TRUE),"En tiempo",IF(AND(Acciones!$H143&lt;TODAY(),Acciones!$J143=""),"Retrasado",IF(Acciones!$J143&gt;Acciones!$H143,"Cerrado con retraso","Cerrado")))))</f>
        <v/>
      </c>
      <c r="L143" s="61"/>
      <c r="M143" s="74"/>
      <c r="T143" s="22"/>
      <c r="U143" s="22"/>
    </row>
    <row r="144" spans="2:21" x14ac:dyDescent="0.3">
      <c r="B144" s="53"/>
      <c r="C144" s="65"/>
      <c r="D144" s="61"/>
      <c r="E144" s="56"/>
      <c r="F144" s="53"/>
      <c r="G144" s="53" t="str">
        <f>IF(ISBLANK(Acciones!$H144)=TRUE," ",WEEKNUM(Acciones!$H144,21))</f>
        <v xml:space="preserve"> </v>
      </c>
      <c r="H144" s="53"/>
      <c r="I144" s="66"/>
      <c r="J144" s="53"/>
      <c r="K144" s="48" t="str">
        <f ca="1">IF(AND(ISBLANK(Acciones!$D144)=FALSE,ISBLANK(Acciones!$H144)=TRUE),"Faltan fechas",IF(Acciones!$H144="","",IF(AND(Acciones!$H144&gt;=TODAY(),ISBLANK(Acciones!$J144)=TRUE),"En tiempo",IF(AND(Acciones!$H144&lt;TODAY(),Acciones!$J144=""),"Retrasado",IF(Acciones!$J144&gt;Acciones!$H144,"Cerrado con retraso","Cerrado")))))</f>
        <v/>
      </c>
      <c r="L144" s="61"/>
      <c r="M144" s="74"/>
      <c r="T144" s="22"/>
      <c r="U144" s="22"/>
    </row>
    <row r="145" spans="2:21" x14ac:dyDescent="0.3">
      <c r="B145" s="53"/>
      <c r="C145" s="65"/>
      <c r="D145" s="61"/>
      <c r="E145" s="56"/>
      <c r="F145" s="53"/>
      <c r="G145" s="53" t="str">
        <f>IF(ISBLANK(Acciones!$H145)=TRUE," ",WEEKNUM(Acciones!$H145,21))</f>
        <v xml:space="preserve"> </v>
      </c>
      <c r="H145" s="53"/>
      <c r="I145" s="66"/>
      <c r="J145" s="53"/>
      <c r="K145" s="48" t="str">
        <f ca="1">IF(AND(ISBLANK(Acciones!$D145)=FALSE,ISBLANK(Acciones!$H145)=TRUE),"Faltan fechas",IF(Acciones!$H145="","",IF(AND(Acciones!$H145&gt;=TODAY(),ISBLANK(Acciones!$J145)=TRUE),"En tiempo",IF(AND(Acciones!$H145&lt;TODAY(),Acciones!$J145=""),"Retrasado",IF(Acciones!$J145&gt;Acciones!$H145,"Cerrado con retraso","Cerrado")))))</f>
        <v/>
      </c>
      <c r="L145" s="61"/>
      <c r="M145" s="74"/>
      <c r="T145" s="22"/>
      <c r="U145" s="22"/>
    </row>
    <row r="146" spans="2:21" x14ac:dyDescent="0.3">
      <c r="B146" s="53"/>
      <c r="C146" s="65"/>
      <c r="D146" s="61"/>
      <c r="E146" s="56"/>
      <c r="F146" s="53"/>
      <c r="G146" s="53" t="str">
        <f>IF(ISBLANK(Acciones!$H146)=TRUE," ",WEEKNUM(Acciones!$H146,21))</f>
        <v xml:space="preserve"> </v>
      </c>
      <c r="H146" s="53"/>
      <c r="I146" s="66"/>
      <c r="J146" s="53"/>
      <c r="K146" s="48" t="str">
        <f ca="1">IF(AND(ISBLANK(Acciones!$D146)=FALSE,ISBLANK(Acciones!$H146)=TRUE),"Faltan fechas",IF(Acciones!$H146="","",IF(AND(Acciones!$H146&gt;=TODAY(),ISBLANK(Acciones!$J146)=TRUE),"En tiempo",IF(AND(Acciones!$H146&lt;TODAY(),Acciones!$J146=""),"Retrasado",IF(Acciones!$J146&gt;Acciones!$H146,"Cerrado con retraso","Cerrado")))))</f>
        <v/>
      </c>
      <c r="L146" s="61"/>
      <c r="M146" s="74"/>
      <c r="T146" s="22"/>
      <c r="U146" s="22"/>
    </row>
    <row r="147" spans="2:21" x14ac:dyDescent="0.3">
      <c r="B147" s="53"/>
      <c r="C147" s="65"/>
      <c r="D147" s="61"/>
      <c r="E147" s="56"/>
      <c r="F147" s="53"/>
      <c r="G147" s="53" t="str">
        <f>IF(ISBLANK(Acciones!$H147)=TRUE," ",WEEKNUM(Acciones!$H147,21))</f>
        <v xml:space="preserve"> </v>
      </c>
      <c r="H147" s="53"/>
      <c r="I147" s="66"/>
      <c r="J147" s="53"/>
      <c r="K147" s="48" t="str">
        <f ca="1">IF(AND(ISBLANK(Acciones!$D147)=FALSE,ISBLANK(Acciones!$H147)=TRUE),"Faltan fechas",IF(Acciones!$H147="","",IF(AND(Acciones!$H147&gt;=TODAY(),ISBLANK(Acciones!$J147)=TRUE),"En tiempo",IF(AND(Acciones!$H147&lt;TODAY(),Acciones!$J147=""),"Retrasado",IF(Acciones!$J147&gt;Acciones!$H147,"Cerrado con retraso","Cerrado")))))</f>
        <v/>
      </c>
      <c r="L147" s="61"/>
      <c r="M147" s="74"/>
      <c r="T147" s="22"/>
      <c r="U147" s="22"/>
    </row>
    <row r="148" spans="2:21" x14ac:dyDescent="0.3">
      <c r="B148" s="53"/>
      <c r="C148" s="65"/>
      <c r="D148" s="61"/>
      <c r="E148" s="56"/>
      <c r="F148" s="53"/>
      <c r="G148" s="53" t="str">
        <f>IF(ISBLANK(Acciones!$H148)=TRUE," ",WEEKNUM(Acciones!$H148,21))</f>
        <v xml:space="preserve"> </v>
      </c>
      <c r="H148" s="53"/>
      <c r="I148" s="66"/>
      <c r="J148" s="53"/>
      <c r="K148" s="48" t="str">
        <f ca="1">IF(AND(ISBLANK(Acciones!$D148)=FALSE,ISBLANK(Acciones!$H148)=TRUE),"Faltan fechas",IF(Acciones!$H148="","",IF(AND(Acciones!$H148&gt;=TODAY(),ISBLANK(Acciones!$J148)=TRUE),"En tiempo",IF(AND(Acciones!$H148&lt;TODAY(),Acciones!$J148=""),"Retrasado",IF(Acciones!$J148&gt;Acciones!$H148,"Cerrado con retraso","Cerrado")))))</f>
        <v/>
      </c>
      <c r="L148" s="61"/>
      <c r="M148" s="74"/>
      <c r="T148" s="22"/>
      <c r="U148" s="22"/>
    </row>
    <row r="149" spans="2:21" x14ac:dyDescent="0.3">
      <c r="B149" s="53"/>
      <c r="C149" s="65"/>
      <c r="D149" s="61"/>
      <c r="E149" s="56"/>
      <c r="F149" s="53"/>
      <c r="G149" s="53" t="str">
        <f>IF(ISBLANK(Acciones!$H149)=TRUE," ",WEEKNUM(Acciones!$H149,21))</f>
        <v xml:space="preserve"> </v>
      </c>
      <c r="H149" s="53"/>
      <c r="I149" s="66"/>
      <c r="J149" s="53"/>
      <c r="K149" s="48" t="str">
        <f ca="1">IF(AND(ISBLANK(Acciones!$D149)=FALSE,ISBLANK(Acciones!$H149)=TRUE),"Faltan fechas",IF(Acciones!$H149="","",IF(AND(Acciones!$H149&gt;=TODAY(),ISBLANK(Acciones!$J149)=TRUE),"En tiempo",IF(AND(Acciones!$H149&lt;TODAY(),Acciones!$J149=""),"Retrasado",IF(Acciones!$J149&gt;Acciones!$H149,"Cerrado con retraso","Cerrado")))))</f>
        <v/>
      </c>
      <c r="L149" s="61"/>
      <c r="M149" s="74"/>
      <c r="T149" s="22"/>
      <c r="U149" s="22"/>
    </row>
    <row r="150" spans="2:21" x14ac:dyDescent="0.3">
      <c r="B150" s="53"/>
      <c r="C150" s="65"/>
      <c r="D150" s="61"/>
      <c r="E150" s="56"/>
      <c r="F150" s="53"/>
      <c r="G150" s="53" t="str">
        <f>IF(ISBLANK(Acciones!$H150)=TRUE," ",WEEKNUM(Acciones!$H150,21))</f>
        <v xml:space="preserve"> </v>
      </c>
      <c r="H150" s="53"/>
      <c r="I150" s="66"/>
      <c r="J150" s="53"/>
      <c r="K150" s="48" t="str">
        <f ca="1">IF(AND(ISBLANK(Acciones!$D150)=FALSE,ISBLANK(Acciones!$H150)=TRUE),"Faltan fechas",IF(Acciones!$H150="","",IF(AND(Acciones!$H150&gt;=TODAY(),ISBLANK(Acciones!$J150)=TRUE),"En tiempo",IF(AND(Acciones!$H150&lt;TODAY(),Acciones!$J150=""),"Retrasado",IF(Acciones!$J150&gt;Acciones!$H150,"Cerrado con retraso","Cerrado")))))</f>
        <v/>
      </c>
      <c r="L150" s="61"/>
      <c r="M150" s="74"/>
      <c r="T150" s="22"/>
      <c r="U150" s="22"/>
    </row>
    <row r="151" spans="2:21" x14ac:dyDescent="0.3">
      <c r="B151" s="53"/>
      <c r="C151" s="65"/>
      <c r="D151" s="61"/>
      <c r="E151" s="56"/>
      <c r="F151" s="53"/>
      <c r="G151" s="53" t="str">
        <f>IF(ISBLANK(Acciones!$H151)=TRUE," ",WEEKNUM(Acciones!$H151,21))</f>
        <v xml:space="preserve"> </v>
      </c>
      <c r="H151" s="53"/>
      <c r="I151" s="66"/>
      <c r="J151" s="53"/>
      <c r="K151" s="48" t="str">
        <f ca="1">IF(AND(ISBLANK(Acciones!$D151)=FALSE,ISBLANK(Acciones!$H151)=TRUE),"Faltan fechas",IF(Acciones!$H151="","",IF(AND(Acciones!$H151&gt;=TODAY(),ISBLANK(Acciones!$J151)=TRUE),"En tiempo",IF(AND(Acciones!$H151&lt;TODAY(),Acciones!$J151=""),"Retrasado",IF(Acciones!$J151&gt;Acciones!$H151,"Cerrado con retraso","Cerrado")))))</f>
        <v/>
      </c>
      <c r="L151" s="61"/>
      <c r="M151" s="74"/>
      <c r="T151" s="22"/>
      <c r="U151" s="22"/>
    </row>
    <row r="152" spans="2:21" x14ac:dyDescent="0.3">
      <c r="B152" s="53"/>
      <c r="C152" s="65"/>
      <c r="D152" s="61"/>
      <c r="E152" s="56"/>
      <c r="F152" s="53"/>
      <c r="G152" s="53" t="str">
        <f>IF(ISBLANK(Acciones!$H152)=TRUE," ",WEEKNUM(Acciones!$H152,21))</f>
        <v xml:space="preserve"> </v>
      </c>
      <c r="H152" s="53"/>
      <c r="I152" s="66"/>
      <c r="J152" s="53"/>
      <c r="K152" s="48" t="str">
        <f ca="1">IF(AND(ISBLANK(Acciones!$D152)=FALSE,ISBLANK(Acciones!$H152)=TRUE),"Faltan fechas",IF(Acciones!$H152="","",IF(AND(Acciones!$H152&gt;=TODAY(),ISBLANK(Acciones!$J152)=TRUE),"En tiempo",IF(AND(Acciones!$H152&lt;TODAY(),Acciones!$J152=""),"Retrasado",IF(Acciones!$J152&gt;Acciones!$H152,"Cerrado con retraso","Cerrado")))))</f>
        <v/>
      </c>
      <c r="L152" s="61"/>
      <c r="M152" s="74"/>
      <c r="T152" s="22"/>
      <c r="U152" s="22"/>
    </row>
    <row r="153" spans="2:21" x14ac:dyDescent="0.3">
      <c r="B153" s="53"/>
      <c r="C153" s="65"/>
      <c r="D153" s="61"/>
      <c r="E153" s="56"/>
      <c r="F153" s="53"/>
      <c r="G153" s="53" t="str">
        <f>IF(ISBLANK(Acciones!$H153)=TRUE," ",WEEKNUM(Acciones!$H153,21))</f>
        <v xml:space="preserve"> </v>
      </c>
      <c r="H153" s="53"/>
      <c r="I153" s="66"/>
      <c r="J153" s="53"/>
      <c r="K153" s="48" t="str">
        <f ca="1">IF(AND(ISBLANK(Acciones!$D153)=FALSE,ISBLANK(Acciones!$H153)=TRUE),"Faltan fechas",IF(Acciones!$H153="","",IF(AND(Acciones!$H153&gt;=TODAY(),ISBLANK(Acciones!$J153)=TRUE),"En tiempo",IF(AND(Acciones!$H153&lt;TODAY(),Acciones!$J153=""),"Retrasado",IF(Acciones!$J153&gt;Acciones!$H153,"Cerrado con retraso","Cerrado")))))</f>
        <v/>
      </c>
      <c r="L153" s="61"/>
      <c r="M153" s="74"/>
      <c r="T153" s="22"/>
      <c r="U153" s="22"/>
    </row>
    <row r="154" spans="2:21" x14ac:dyDescent="0.3">
      <c r="B154" s="53"/>
      <c r="C154" s="65"/>
      <c r="D154" s="61"/>
      <c r="E154" s="56"/>
      <c r="F154" s="53"/>
      <c r="G154" s="53" t="str">
        <f>IF(ISBLANK(Acciones!$H154)=TRUE," ",WEEKNUM(Acciones!$H154,21))</f>
        <v xml:space="preserve"> </v>
      </c>
      <c r="H154" s="53"/>
      <c r="I154" s="66"/>
      <c r="J154" s="53"/>
      <c r="K154" s="48" t="str">
        <f ca="1">IF(AND(ISBLANK(Acciones!$D154)=FALSE,ISBLANK(Acciones!$H154)=TRUE),"Faltan fechas",IF(Acciones!$H154="","",IF(AND(Acciones!$H154&gt;=TODAY(),ISBLANK(Acciones!$J154)=TRUE),"En tiempo",IF(AND(Acciones!$H154&lt;TODAY(),Acciones!$J154=""),"Retrasado",IF(Acciones!$J154&gt;Acciones!$H154,"Cerrado con retraso","Cerrado")))))</f>
        <v/>
      </c>
      <c r="L154" s="61"/>
      <c r="M154" s="74"/>
      <c r="T154" s="22"/>
      <c r="U154" s="22"/>
    </row>
    <row r="155" spans="2:21" x14ac:dyDescent="0.3">
      <c r="B155" s="53"/>
      <c r="C155" s="65"/>
      <c r="D155" s="61"/>
      <c r="E155" s="56"/>
      <c r="F155" s="53"/>
      <c r="G155" s="53" t="str">
        <f>IF(ISBLANK(Acciones!$H155)=TRUE," ",WEEKNUM(Acciones!$H155,21))</f>
        <v xml:space="preserve"> </v>
      </c>
      <c r="H155" s="53"/>
      <c r="I155" s="66"/>
      <c r="J155" s="53"/>
      <c r="K155" s="48" t="str">
        <f ca="1">IF(AND(ISBLANK(Acciones!$D155)=FALSE,ISBLANK(Acciones!$H155)=TRUE),"Faltan fechas",IF(Acciones!$H155="","",IF(AND(Acciones!$H155&gt;=TODAY(),ISBLANK(Acciones!$J155)=TRUE),"En tiempo",IF(AND(Acciones!$H155&lt;TODAY(),Acciones!$J155=""),"Retrasado",IF(Acciones!$J155&gt;Acciones!$H155,"Cerrado con retraso","Cerrado")))))</f>
        <v/>
      </c>
      <c r="L155" s="61"/>
      <c r="M155" s="74"/>
      <c r="T155" s="22"/>
      <c r="U155" s="22"/>
    </row>
    <row r="156" spans="2:21" x14ac:dyDescent="0.3">
      <c r="B156" s="53"/>
      <c r="C156" s="65"/>
      <c r="D156" s="61"/>
      <c r="E156" s="56"/>
      <c r="F156" s="53"/>
      <c r="G156" s="53" t="str">
        <f>IF(ISBLANK(Acciones!$H156)=TRUE," ",WEEKNUM(Acciones!$H156,21))</f>
        <v xml:space="preserve"> </v>
      </c>
      <c r="H156" s="53"/>
      <c r="I156" s="66"/>
      <c r="J156" s="53"/>
      <c r="K156" s="48" t="str">
        <f ca="1">IF(AND(ISBLANK(Acciones!$D156)=FALSE,ISBLANK(Acciones!$H156)=TRUE),"Faltan fechas",IF(Acciones!$H156="","",IF(AND(Acciones!$H156&gt;=TODAY(),ISBLANK(Acciones!$J156)=TRUE),"En tiempo",IF(AND(Acciones!$H156&lt;TODAY(),Acciones!$J156=""),"Retrasado",IF(Acciones!$J156&gt;Acciones!$H156,"Cerrado con retraso","Cerrado")))))</f>
        <v/>
      </c>
      <c r="L156" s="61"/>
      <c r="M156" s="74"/>
      <c r="T156" s="22"/>
      <c r="U156" s="22"/>
    </row>
    <row r="157" spans="2:21" x14ac:dyDescent="0.3">
      <c r="B157" s="53"/>
      <c r="C157" s="65"/>
      <c r="D157" s="61"/>
      <c r="E157" s="56"/>
      <c r="F157" s="53"/>
      <c r="G157" s="53" t="str">
        <f>IF(ISBLANK(Acciones!$H157)=TRUE," ",WEEKNUM(Acciones!$H157,21))</f>
        <v xml:space="preserve"> </v>
      </c>
      <c r="H157" s="53"/>
      <c r="I157" s="66"/>
      <c r="J157" s="53"/>
      <c r="K157" s="48" t="str">
        <f ca="1">IF(AND(ISBLANK(Acciones!$D157)=FALSE,ISBLANK(Acciones!$H157)=TRUE),"Faltan fechas",IF(Acciones!$H157="","",IF(AND(Acciones!$H157&gt;=TODAY(),ISBLANK(Acciones!$J157)=TRUE),"En tiempo",IF(AND(Acciones!$H157&lt;TODAY(),Acciones!$J157=""),"Retrasado",IF(Acciones!$J157&gt;Acciones!$H157,"Cerrado con retraso","Cerrado")))))</f>
        <v/>
      </c>
      <c r="L157" s="61"/>
      <c r="M157" s="74"/>
      <c r="T157" s="22"/>
      <c r="U157" s="22"/>
    </row>
    <row r="158" spans="2:21" x14ac:dyDescent="0.3">
      <c r="B158" s="53"/>
      <c r="C158" s="65"/>
      <c r="D158" s="61"/>
      <c r="E158" s="56"/>
      <c r="F158" s="53"/>
      <c r="G158" s="53" t="str">
        <f>IF(ISBLANK(Acciones!$H158)=TRUE," ",WEEKNUM(Acciones!$H158,21))</f>
        <v xml:space="preserve"> </v>
      </c>
      <c r="H158" s="53"/>
      <c r="I158" s="66"/>
      <c r="J158" s="53"/>
      <c r="K158" s="48" t="str">
        <f ca="1">IF(AND(ISBLANK(Acciones!$D158)=FALSE,ISBLANK(Acciones!$H158)=TRUE),"Faltan fechas",IF(Acciones!$H158="","",IF(AND(Acciones!$H158&gt;=TODAY(),ISBLANK(Acciones!$J158)=TRUE),"En tiempo",IF(AND(Acciones!$H158&lt;TODAY(),Acciones!$J158=""),"Retrasado",IF(Acciones!$J158&gt;Acciones!$H158,"Cerrado con retraso","Cerrado")))))</f>
        <v/>
      </c>
      <c r="L158" s="61"/>
      <c r="M158" s="74"/>
      <c r="T158" s="22"/>
      <c r="U158" s="22"/>
    </row>
    <row r="159" spans="2:21" x14ac:dyDescent="0.3">
      <c r="B159" s="53"/>
      <c r="C159" s="65"/>
      <c r="D159" s="61"/>
      <c r="E159" s="56"/>
      <c r="F159" s="53"/>
      <c r="G159" s="53" t="str">
        <f>IF(ISBLANK(Acciones!$H159)=TRUE," ",WEEKNUM(Acciones!$H159,21))</f>
        <v xml:space="preserve"> </v>
      </c>
      <c r="H159" s="53"/>
      <c r="I159" s="66"/>
      <c r="J159" s="53"/>
      <c r="K159" s="48" t="str">
        <f ca="1">IF(AND(ISBLANK(Acciones!$D159)=FALSE,ISBLANK(Acciones!$H159)=TRUE),"Faltan fechas",IF(Acciones!$H159="","",IF(AND(Acciones!$H159&gt;=TODAY(),ISBLANK(Acciones!$J159)=TRUE),"En tiempo",IF(AND(Acciones!$H159&lt;TODAY(),Acciones!$J159=""),"Retrasado",IF(Acciones!$J159&gt;Acciones!$H159,"Cerrado con retraso","Cerrado")))))</f>
        <v/>
      </c>
      <c r="L159" s="61"/>
      <c r="M159" s="74"/>
      <c r="T159" s="22"/>
      <c r="U159" s="22"/>
    </row>
    <row r="160" spans="2:21" x14ac:dyDescent="0.3">
      <c r="B160" s="53"/>
      <c r="C160" s="65"/>
      <c r="D160" s="61"/>
      <c r="E160" s="56"/>
      <c r="F160" s="53"/>
      <c r="G160" s="53" t="str">
        <f>IF(ISBLANK(Acciones!$H160)=TRUE," ",WEEKNUM(Acciones!$H160,21))</f>
        <v xml:space="preserve"> </v>
      </c>
      <c r="H160" s="53"/>
      <c r="I160" s="66"/>
      <c r="J160" s="53"/>
      <c r="K160" s="48" t="str">
        <f ca="1">IF(AND(ISBLANK(Acciones!$D160)=FALSE,ISBLANK(Acciones!$H160)=TRUE),"Faltan fechas",IF(Acciones!$H160="","",IF(AND(Acciones!$H160&gt;=TODAY(),ISBLANK(Acciones!$J160)=TRUE),"En tiempo",IF(AND(Acciones!$H160&lt;TODAY(),Acciones!$J160=""),"Retrasado",IF(Acciones!$J160&gt;Acciones!$H160,"Cerrado con retraso","Cerrado")))))</f>
        <v/>
      </c>
      <c r="L160" s="61"/>
      <c r="M160" s="74"/>
      <c r="T160" s="22"/>
      <c r="U160" s="22"/>
    </row>
    <row r="161" spans="2:21" x14ac:dyDescent="0.3">
      <c r="B161" s="53"/>
      <c r="C161" s="65"/>
      <c r="D161" s="61"/>
      <c r="E161" s="56"/>
      <c r="F161" s="53"/>
      <c r="G161" s="53" t="str">
        <f>IF(ISBLANK(Acciones!$H161)=TRUE," ",WEEKNUM(Acciones!$H161,21))</f>
        <v xml:space="preserve"> </v>
      </c>
      <c r="H161" s="53"/>
      <c r="I161" s="66"/>
      <c r="J161" s="53"/>
      <c r="K161" s="48" t="str">
        <f ca="1">IF(AND(ISBLANK(Acciones!$D161)=FALSE,ISBLANK(Acciones!$H161)=TRUE),"Faltan fechas",IF(Acciones!$H161="","",IF(AND(Acciones!$H161&gt;=TODAY(),ISBLANK(Acciones!$J161)=TRUE),"En tiempo",IF(AND(Acciones!$H161&lt;TODAY(),Acciones!$J161=""),"Retrasado",IF(Acciones!$J161&gt;Acciones!$H161,"Cerrado con retraso","Cerrado")))))</f>
        <v/>
      </c>
      <c r="L161" s="61"/>
      <c r="M161" s="74"/>
      <c r="T161" s="22"/>
      <c r="U161" s="22"/>
    </row>
    <row r="162" spans="2:21" x14ac:dyDescent="0.3">
      <c r="B162" s="53"/>
      <c r="C162" s="65"/>
      <c r="D162" s="61"/>
      <c r="E162" s="56"/>
      <c r="F162" s="53"/>
      <c r="G162" s="53" t="str">
        <f>IF(ISBLANK(Acciones!$H162)=TRUE," ",WEEKNUM(Acciones!$H162,21))</f>
        <v xml:space="preserve"> </v>
      </c>
      <c r="H162" s="53"/>
      <c r="I162" s="66"/>
      <c r="J162" s="53"/>
      <c r="K162" s="48" t="str">
        <f ca="1">IF(AND(ISBLANK(Acciones!$D162)=FALSE,ISBLANK(Acciones!$H162)=TRUE),"Faltan fechas",IF(Acciones!$H162="","",IF(AND(Acciones!$H162&gt;=TODAY(),ISBLANK(Acciones!$J162)=TRUE),"En tiempo",IF(AND(Acciones!$H162&lt;TODAY(),Acciones!$J162=""),"Retrasado",IF(Acciones!$J162&gt;Acciones!$H162,"Cerrado con retraso","Cerrado")))))</f>
        <v/>
      </c>
      <c r="L162" s="61"/>
      <c r="M162" s="74"/>
      <c r="T162" s="22"/>
      <c r="U162" s="22"/>
    </row>
    <row r="163" spans="2:21" x14ac:dyDescent="0.3">
      <c r="B163" s="53"/>
      <c r="C163" s="65"/>
      <c r="D163" s="61"/>
      <c r="E163" s="56"/>
      <c r="F163" s="53"/>
      <c r="G163" s="53" t="str">
        <f>IF(ISBLANK(Acciones!$H163)=TRUE," ",WEEKNUM(Acciones!$H163,21))</f>
        <v xml:space="preserve"> </v>
      </c>
      <c r="H163" s="53"/>
      <c r="I163" s="66"/>
      <c r="J163" s="53"/>
      <c r="K163" s="48" t="str">
        <f ca="1">IF(AND(ISBLANK(Acciones!$D163)=FALSE,ISBLANK(Acciones!$H163)=TRUE),"Faltan fechas",IF(Acciones!$H163="","",IF(AND(Acciones!$H163&gt;=TODAY(),ISBLANK(Acciones!$J163)=TRUE),"En tiempo",IF(AND(Acciones!$H163&lt;TODAY(),Acciones!$J163=""),"Retrasado",IF(Acciones!$J163&gt;Acciones!$H163,"Cerrado con retraso","Cerrado")))))</f>
        <v/>
      </c>
      <c r="L163" s="61"/>
      <c r="M163" s="74"/>
      <c r="T163" s="22"/>
      <c r="U163" s="22"/>
    </row>
    <row r="164" spans="2:21" x14ac:dyDescent="0.3">
      <c r="B164" s="53"/>
      <c r="C164" s="65"/>
      <c r="D164" s="61"/>
      <c r="E164" s="56"/>
      <c r="F164" s="53"/>
      <c r="G164" s="53" t="str">
        <f>IF(ISBLANK(Acciones!$H164)=TRUE," ",WEEKNUM(Acciones!$H164,21))</f>
        <v xml:space="preserve"> </v>
      </c>
      <c r="H164" s="53"/>
      <c r="I164" s="66"/>
      <c r="J164" s="53"/>
      <c r="K164" s="48" t="str">
        <f ca="1">IF(AND(ISBLANK(Acciones!$D164)=FALSE,ISBLANK(Acciones!$H164)=TRUE),"Faltan fechas",IF(Acciones!$H164="","",IF(AND(Acciones!$H164&gt;=TODAY(),ISBLANK(Acciones!$J164)=TRUE),"En tiempo",IF(AND(Acciones!$H164&lt;TODAY(),Acciones!$J164=""),"Retrasado",IF(Acciones!$J164&gt;Acciones!$H164,"Cerrado con retraso","Cerrado")))))</f>
        <v/>
      </c>
      <c r="L164" s="61"/>
      <c r="M164" s="74"/>
      <c r="T164" s="22"/>
      <c r="U164" s="22"/>
    </row>
    <row r="165" spans="2:21" x14ac:dyDescent="0.3">
      <c r="B165" s="53"/>
      <c r="C165" s="65"/>
      <c r="D165" s="61"/>
      <c r="E165" s="56"/>
      <c r="F165" s="53"/>
      <c r="G165" s="53" t="str">
        <f>IF(ISBLANK(Acciones!$H165)=TRUE," ",WEEKNUM(Acciones!$H165,21))</f>
        <v xml:space="preserve"> </v>
      </c>
      <c r="H165" s="53"/>
      <c r="I165" s="66"/>
      <c r="J165" s="53"/>
      <c r="K165" s="48" t="str">
        <f ca="1">IF(AND(ISBLANK(Acciones!$D165)=FALSE,ISBLANK(Acciones!$H165)=TRUE),"Faltan fechas",IF(Acciones!$H165="","",IF(AND(Acciones!$H165&gt;=TODAY(),ISBLANK(Acciones!$J165)=TRUE),"En tiempo",IF(AND(Acciones!$H165&lt;TODAY(),Acciones!$J165=""),"Retrasado",IF(Acciones!$J165&gt;Acciones!$H165,"Cerrado con retraso","Cerrado")))))</f>
        <v/>
      </c>
      <c r="L165" s="61"/>
      <c r="M165" s="74"/>
      <c r="T165" s="22"/>
      <c r="U165" s="22"/>
    </row>
    <row r="166" spans="2:21" x14ac:dyDescent="0.3">
      <c r="B166" s="53"/>
      <c r="C166" s="65"/>
      <c r="D166" s="61"/>
      <c r="E166" s="56"/>
      <c r="F166" s="53"/>
      <c r="G166" s="53" t="str">
        <f>IF(ISBLANK(Acciones!$H166)=TRUE," ",WEEKNUM(Acciones!$H166,21))</f>
        <v xml:space="preserve"> </v>
      </c>
      <c r="H166" s="53"/>
      <c r="I166" s="66"/>
      <c r="J166" s="53"/>
      <c r="K166" s="48" t="str">
        <f ca="1">IF(AND(ISBLANK(Acciones!$D166)=FALSE,ISBLANK(Acciones!$H166)=TRUE),"Faltan fechas",IF(Acciones!$H166="","",IF(AND(Acciones!$H166&gt;=TODAY(),ISBLANK(Acciones!$J166)=TRUE),"En tiempo",IF(AND(Acciones!$H166&lt;TODAY(),Acciones!$J166=""),"Retrasado",IF(Acciones!$J166&gt;Acciones!$H166,"Cerrado con retraso","Cerrado")))))</f>
        <v/>
      </c>
      <c r="L166" s="61"/>
      <c r="M166" s="74"/>
      <c r="T166" s="22"/>
      <c r="U166" s="22"/>
    </row>
    <row r="167" spans="2:21" x14ac:dyDescent="0.3">
      <c r="B167" s="53"/>
      <c r="C167" s="65"/>
      <c r="D167" s="61"/>
      <c r="E167" s="56"/>
      <c r="F167" s="53"/>
      <c r="G167" s="53" t="str">
        <f>IF(ISBLANK(Acciones!$H167)=TRUE," ",WEEKNUM(Acciones!$H167,21))</f>
        <v xml:space="preserve"> </v>
      </c>
      <c r="H167" s="53"/>
      <c r="I167" s="66"/>
      <c r="J167" s="53"/>
      <c r="K167" s="48" t="str">
        <f ca="1">IF(AND(ISBLANK(Acciones!$D167)=FALSE,ISBLANK(Acciones!$H167)=TRUE),"Faltan fechas",IF(Acciones!$H167="","",IF(AND(Acciones!$H167&gt;=TODAY(),ISBLANK(Acciones!$J167)=TRUE),"En tiempo",IF(AND(Acciones!$H167&lt;TODAY(),Acciones!$J167=""),"Retrasado",IF(Acciones!$J167&gt;Acciones!$H167,"Cerrado con retraso","Cerrado")))))</f>
        <v/>
      </c>
      <c r="L167" s="61"/>
      <c r="M167" s="74"/>
      <c r="T167" s="22"/>
      <c r="U167" s="22"/>
    </row>
    <row r="168" spans="2:21" x14ac:dyDescent="0.3">
      <c r="B168" s="53"/>
      <c r="C168" s="65"/>
      <c r="D168" s="61"/>
      <c r="E168" s="56"/>
      <c r="F168" s="53"/>
      <c r="G168" s="53" t="str">
        <f>IF(ISBLANK(Acciones!$H168)=TRUE," ",WEEKNUM(Acciones!$H168,21))</f>
        <v xml:space="preserve"> </v>
      </c>
      <c r="H168" s="53"/>
      <c r="I168" s="66"/>
      <c r="J168" s="53"/>
      <c r="K168" s="48" t="str">
        <f ca="1">IF(AND(ISBLANK(Acciones!$D168)=FALSE,ISBLANK(Acciones!$H168)=TRUE),"Faltan fechas",IF(Acciones!$H168="","",IF(AND(Acciones!$H168&gt;=TODAY(),ISBLANK(Acciones!$J168)=TRUE),"En tiempo",IF(AND(Acciones!$H168&lt;TODAY(),Acciones!$J168=""),"Retrasado",IF(Acciones!$J168&gt;Acciones!$H168,"Cerrado con retraso","Cerrado")))))</f>
        <v/>
      </c>
      <c r="L168" s="61"/>
      <c r="M168" s="74"/>
      <c r="T168" s="22"/>
      <c r="U168" s="22"/>
    </row>
    <row r="169" spans="2:21" x14ac:dyDescent="0.3">
      <c r="B169" s="53"/>
      <c r="C169" s="65"/>
      <c r="D169" s="61"/>
      <c r="E169" s="56"/>
      <c r="F169" s="53"/>
      <c r="G169" s="53" t="str">
        <f>IF(ISBLANK(Acciones!$H169)=TRUE," ",WEEKNUM(Acciones!$H169,21))</f>
        <v xml:space="preserve"> </v>
      </c>
      <c r="H169" s="53"/>
      <c r="I169" s="66"/>
      <c r="J169" s="53"/>
      <c r="K169" s="48" t="str">
        <f ca="1">IF(AND(ISBLANK(Acciones!$D169)=FALSE,ISBLANK(Acciones!$H169)=TRUE),"Faltan fechas",IF(Acciones!$H169="","",IF(AND(Acciones!$H169&gt;=TODAY(),ISBLANK(Acciones!$J169)=TRUE),"En tiempo",IF(AND(Acciones!$H169&lt;TODAY(),Acciones!$J169=""),"Retrasado",IF(Acciones!$J169&gt;Acciones!$H169,"Cerrado con retraso","Cerrado")))))</f>
        <v/>
      </c>
      <c r="L169" s="61"/>
      <c r="M169" s="74"/>
      <c r="T169" s="22"/>
      <c r="U169" s="22"/>
    </row>
    <row r="170" spans="2:21" x14ac:dyDescent="0.3">
      <c r="B170" s="53"/>
      <c r="C170" s="65"/>
      <c r="D170" s="61"/>
      <c r="E170" s="56"/>
      <c r="F170" s="53"/>
      <c r="G170" s="53" t="str">
        <f>IF(ISBLANK(Acciones!$H170)=TRUE," ",WEEKNUM(Acciones!$H170,21))</f>
        <v xml:space="preserve"> </v>
      </c>
      <c r="H170" s="53"/>
      <c r="I170" s="66"/>
      <c r="J170" s="53"/>
      <c r="K170" s="48" t="str">
        <f ca="1">IF(AND(ISBLANK(Acciones!$D170)=FALSE,ISBLANK(Acciones!$H170)=TRUE),"Faltan fechas",IF(Acciones!$H170="","",IF(AND(Acciones!$H170&gt;=TODAY(),ISBLANK(Acciones!$J170)=TRUE),"En tiempo",IF(AND(Acciones!$H170&lt;TODAY(),Acciones!$J170=""),"Retrasado",IF(Acciones!$J170&gt;Acciones!$H170,"Cerrado con retraso","Cerrado")))))</f>
        <v/>
      </c>
      <c r="L170" s="61"/>
      <c r="M170" s="74"/>
      <c r="T170" s="22"/>
      <c r="U170" s="22"/>
    </row>
    <row r="171" spans="2:21" x14ac:dyDescent="0.3">
      <c r="B171" s="53"/>
      <c r="C171" s="65"/>
      <c r="D171" s="61"/>
      <c r="E171" s="56"/>
      <c r="F171" s="53"/>
      <c r="G171" s="53" t="str">
        <f>IF(ISBLANK(Acciones!$H171)=TRUE," ",WEEKNUM(Acciones!$H171,21))</f>
        <v xml:space="preserve"> </v>
      </c>
      <c r="H171" s="53"/>
      <c r="I171" s="66"/>
      <c r="J171" s="53"/>
      <c r="K171" s="48" t="str">
        <f ca="1">IF(AND(ISBLANK(Acciones!$D171)=FALSE,ISBLANK(Acciones!$H171)=TRUE),"Faltan fechas",IF(Acciones!$H171="","",IF(AND(Acciones!$H171&gt;=TODAY(),ISBLANK(Acciones!$J171)=TRUE),"En tiempo",IF(AND(Acciones!$H171&lt;TODAY(),Acciones!$J171=""),"Retrasado",IF(Acciones!$J171&gt;Acciones!$H171,"Cerrado con retraso","Cerrado")))))</f>
        <v/>
      </c>
      <c r="L171" s="61"/>
      <c r="M171" s="74"/>
      <c r="T171" s="22"/>
      <c r="U171" s="22"/>
    </row>
    <row r="172" spans="2:21" x14ac:dyDescent="0.3">
      <c r="B172" s="53"/>
      <c r="C172" s="65"/>
      <c r="D172" s="61"/>
      <c r="E172" s="56"/>
      <c r="F172" s="53"/>
      <c r="G172" s="53" t="str">
        <f>IF(ISBLANK(Acciones!$H172)=TRUE," ",WEEKNUM(Acciones!$H172,21))</f>
        <v xml:space="preserve"> </v>
      </c>
      <c r="H172" s="53"/>
      <c r="I172" s="66"/>
      <c r="J172" s="53"/>
      <c r="K172" s="48" t="str">
        <f ca="1">IF(AND(ISBLANK(Acciones!$D172)=FALSE,ISBLANK(Acciones!$H172)=TRUE),"Faltan fechas",IF(Acciones!$H172="","",IF(AND(Acciones!$H172&gt;=TODAY(),ISBLANK(Acciones!$J172)=TRUE),"En tiempo",IF(AND(Acciones!$H172&lt;TODAY(),Acciones!$J172=""),"Retrasado",IF(Acciones!$J172&gt;Acciones!$H172,"Cerrado con retraso","Cerrado")))))</f>
        <v/>
      </c>
      <c r="L172" s="61"/>
      <c r="M172" s="74"/>
      <c r="T172" s="22"/>
      <c r="U172" s="22"/>
    </row>
    <row r="173" spans="2:21" x14ac:dyDescent="0.3">
      <c r="B173" s="53"/>
      <c r="C173" s="65"/>
      <c r="D173" s="61"/>
      <c r="E173" s="56"/>
      <c r="F173" s="53"/>
      <c r="G173" s="53" t="str">
        <f>IF(ISBLANK(Acciones!$H173)=TRUE," ",WEEKNUM(Acciones!$H173,21))</f>
        <v xml:space="preserve"> </v>
      </c>
      <c r="H173" s="53"/>
      <c r="I173" s="66"/>
      <c r="J173" s="53"/>
      <c r="K173" s="48" t="str">
        <f ca="1">IF(AND(ISBLANK(Acciones!$D173)=FALSE,ISBLANK(Acciones!$H173)=TRUE),"Faltan fechas",IF(Acciones!$H173="","",IF(AND(Acciones!$H173&gt;=TODAY(),ISBLANK(Acciones!$J173)=TRUE),"En tiempo",IF(AND(Acciones!$H173&lt;TODAY(),Acciones!$J173=""),"Retrasado",IF(Acciones!$J173&gt;Acciones!$H173,"Cerrado con retraso","Cerrado")))))</f>
        <v/>
      </c>
      <c r="L173" s="61"/>
      <c r="M173" s="74"/>
      <c r="T173" s="22"/>
      <c r="U173" s="22"/>
    </row>
    <row r="174" spans="2:21" x14ac:dyDescent="0.3">
      <c r="B174" s="53"/>
      <c r="C174" s="65"/>
      <c r="D174" s="61"/>
      <c r="E174" s="56"/>
      <c r="F174" s="53"/>
      <c r="G174" s="53" t="str">
        <f>IF(ISBLANK(Acciones!$H174)=TRUE," ",WEEKNUM(Acciones!$H174,21))</f>
        <v xml:space="preserve"> </v>
      </c>
      <c r="H174" s="53"/>
      <c r="I174" s="66"/>
      <c r="J174" s="53"/>
      <c r="K174" s="48" t="str">
        <f ca="1">IF(AND(ISBLANK(Acciones!$D174)=FALSE,ISBLANK(Acciones!$H174)=TRUE),"Faltan fechas",IF(Acciones!$H174="","",IF(AND(Acciones!$H174&gt;=TODAY(),ISBLANK(Acciones!$J174)=TRUE),"En tiempo",IF(AND(Acciones!$H174&lt;TODAY(),Acciones!$J174=""),"Retrasado",IF(Acciones!$J174&gt;Acciones!$H174,"Cerrado con retraso","Cerrado")))))</f>
        <v/>
      </c>
      <c r="L174" s="61"/>
      <c r="M174" s="74"/>
      <c r="T174" s="22"/>
      <c r="U174" s="22"/>
    </row>
    <row r="175" spans="2:21" x14ac:dyDescent="0.3">
      <c r="B175" s="53"/>
      <c r="C175" s="65"/>
      <c r="D175" s="61"/>
      <c r="E175" s="56"/>
      <c r="F175" s="53"/>
      <c r="G175" s="53" t="str">
        <f>IF(ISBLANK(Acciones!$H175)=TRUE," ",WEEKNUM(Acciones!$H175,21))</f>
        <v xml:space="preserve"> </v>
      </c>
      <c r="H175" s="53"/>
      <c r="I175" s="66"/>
      <c r="J175" s="53"/>
      <c r="K175" s="48" t="str">
        <f ca="1">IF(AND(ISBLANK(Acciones!$D175)=FALSE,ISBLANK(Acciones!$H175)=TRUE),"Faltan fechas",IF(Acciones!$H175="","",IF(AND(Acciones!$H175&gt;=TODAY(),ISBLANK(Acciones!$J175)=TRUE),"En tiempo",IF(AND(Acciones!$H175&lt;TODAY(),Acciones!$J175=""),"Retrasado",IF(Acciones!$J175&gt;Acciones!$H175,"Cerrado con retraso","Cerrado")))))</f>
        <v/>
      </c>
      <c r="L175" s="61"/>
      <c r="M175" s="74"/>
      <c r="T175" s="22"/>
      <c r="U175" s="22"/>
    </row>
    <row r="176" spans="2:21" x14ac:dyDescent="0.3">
      <c r="B176" s="53"/>
      <c r="C176" s="65"/>
      <c r="D176" s="61"/>
      <c r="E176" s="56"/>
      <c r="F176" s="53"/>
      <c r="G176" s="53" t="str">
        <f>IF(ISBLANK(Acciones!$H176)=TRUE," ",WEEKNUM(Acciones!$H176,21))</f>
        <v xml:space="preserve"> </v>
      </c>
      <c r="H176" s="53"/>
      <c r="I176" s="66"/>
      <c r="J176" s="53"/>
      <c r="K176" s="48" t="str">
        <f ca="1">IF(AND(ISBLANK(Acciones!$D176)=FALSE,ISBLANK(Acciones!$H176)=TRUE),"Faltan fechas",IF(Acciones!$H176="","",IF(AND(Acciones!$H176&gt;=TODAY(),ISBLANK(Acciones!$J176)=TRUE),"En tiempo",IF(AND(Acciones!$H176&lt;TODAY(),Acciones!$J176=""),"Retrasado",IF(Acciones!$J176&gt;Acciones!$H176,"Cerrado con retraso","Cerrado")))))</f>
        <v/>
      </c>
      <c r="L176" s="61"/>
      <c r="M176" s="74"/>
      <c r="T176" s="22"/>
      <c r="U176" s="22"/>
    </row>
    <row r="177" spans="2:21" x14ac:dyDescent="0.3">
      <c r="B177" s="53"/>
      <c r="C177" s="65"/>
      <c r="D177" s="61"/>
      <c r="E177" s="56"/>
      <c r="F177" s="53"/>
      <c r="G177" s="53" t="str">
        <f>IF(ISBLANK(Acciones!$H177)=TRUE," ",WEEKNUM(Acciones!$H177,21))</f>
        <v xml:space="preserve"> </v>
      </c>
      <c r="H177" s="53"/>
      <c r="I177" s="66"/>
      <c r="J177" s="53"/>
      <c r="K177" s="48" t="str">
        <f ca="1">IF(AND(ISBLANK(Acciones!$D177)=FALSE,ISBLANK(Acciones!$H177)=TRUE),"Faltan fechas",IF(Acciones!$H177="","",IF(AND(Acciones!$H177&gt;=TODAY(),ISBLANK(Acciones!$J177)=TRUE),"En tiempo",IF(AND(Acciones!$H177&lt;TODAY(),Acciones!$J177=""),"Retrasado",IF(Acciones!$J177&gt;Acciones!$H177,"Cerrado con retraso","Cerrado")))))</f>
        <v/>
      </c>
      <c r="L177" s="61"/>
      <c r="M177" s="74"/>
      <c r="T177" s="22"/>
      <c r="U177" s="22"/>
    </row>
    <row r="178" spans="2:21" x14ac:dyDescent="0.3">
      <c r="B178" s="53"/>
      <c r="C178" s="65"/>
      <c r="D178" s="61"/>
      <c r="E178" s="56"/>
      <c r="F178" s="53"/>
      <c r="G178" s="53" t="str">
        <f>IF(ISBLANK(Acciones!$H178)=TRUE," ",WEEKNUM(Acciones!$H178,21))</f>
        <v xml:space="preserve"> </v>
      </c>
      <c r="H178" s="53"/>
      <c r="I178" s="66"/>
      <c r="J178" s="53"/>
      <c r="K178" s="48" t="str">
        <f ca="1">IF(AND(ISBLANK(Acciones!$D178)=FALSE,ISBLANK(Acciones!$H178)=TRUE),"Faltan fechas",IF(Acciones!$H178="","",IF(AND(Acciones!$H178&gt;=TODAY(),ISBLANK(Acciones!$J178)=TRUE),"En tiempo",IF(AND(Acciones!$H178&lt;TODAY(),Acciones!$J178=""),"Retrasado",IF(Acciones!$J178&gt;Acciones!$H178,"Cerrado con retraso","Cerrado")))))</f>
        <v/>
      </c>
      <c r="L178" s="61"/>
      <c r="M178" s="74"/>
      <c r="T178" s="22"/>
      <c r="U178" s="22"/>
    </row>
    <row r="179" spans="2:21" x14ac:dyDescent="0.3">
      <c r="B179" s="53"/>
      <c r="C179" s="65"/>
      <c r="D179" s="61"/>
      <c r="E179" s="56"/>
      <c r="F179" s="53"/>
      <c r="G179" s="53" t="str">
        <f>IF(ISBLANK(Acciones!$H179)=TRUE," ",WEEKNUM(Acciones!$H179,21))</f>
        <v xml:space="preserve"> </v>
      </c>
      <c r="H179" s="53"/>
      <c r="I179" s="66"/>
      <c r="J179" s="53"/>
      <c r="K179" s="48" t="str">
        <f ca="1">IF(AND(ISBLANK(Acciones!$D179)=FALSE,ISBLANK(Acciones!$H179)=TRUE),"Faltan fechas",IF(Acciones!$H179="","",IF(AND(Acciones!$H179&gt;=TODAY(),ISBLANK(Acciones!$J179)=TRUE),"En tiempo",IF(AND(Acciones!$H179&lt;TODAY(),Acciones!$J179=""),"Retrasado",IF(Acciones!$J179&gt;Acciones!$H179,"Cerrado con retraso","Cerrado")))))</f>
        <v/>
      </c>
      <c r="L179" s="61"/>
      <c r="M179" s="74"/>
      <c r="T179" s="22"/>
      <c r="U179" s="22"/>
    </row>
    <row r="180" spans="2:21" x14ac:dyDescent="0.3">
      <c r="B180" s="53"/>
      <c r="C180" s="65"/>
      <c r="D180" s="61"/>
      <c r="E180" s="56"/>
      <c r="F180" s="53"/>
      <c r="G180" s="53" t="str">
        <f>IF(ISBLANK(Acciones!$H180)=TRUE," ",WEEKNUM(Acciones!$H180,21))</f>
        <v xml:space="preserve"> </v>
      </c>
      <c r="H180" s="53"/>
      <c r="I180" s="66"/>
      <c r="J180" s="53"/>
      <c r="K180" s="48" t="str">
        <f ca="1">IF(AND(ISBLANK(Acciones!$D180)=FALSE,ISBLANK(Acciones!$H180)=TRUE),"Faltan fechas",IF(Acciones!$H180="","",IF(AND(Acciones!$H180&gt;=TODAY(),ISBLANK(Acciones!$J180)=TRUE),"En tiempo",IF(AND(Acciones!$H180&lt;TODAY(),Acciones!$J180=""),"Retrasado",IF(Acciones!$J180&gt;Acciones!$H180,"Cerrado con retraso","Cerrado")))))</f>
        <v/>
      </c>
      <c r="L180" s="61"/>
      <c r="M180" s="74"/>
      <c r="T180" s="22"/>
      <c r="U180" s="22"/>
    </row>
    <row r="181" spans="2:21" x14ac:dyDescent="0.3">
      <c r="B181" s="53"/>
      <c r="C181" s="65"/>
      <c r="D181" s="61"/>
      <c r="E181" s="56"/>
      <c r="F181" s="53"/>
      <c r="G181" s="53" t="str">
        <f>IF(ISBLANK(Acciones!$H181)=TRUE," ",WEEKNUM(Acciones!$H181,21))</f>
        <v xml:space="preserve"> </v>
      </c>
      <c r="H181" s="53"/>
      <c r="I181" s="66"/>
      <c r="J181" s="53"/>
      <c r="K181" s="48" t="str">
        <f ca="1">IF(AND(ISBLANK(Acciones!$D181)=FALSE,ISBLANK(Acciones!$H181)=TRUE),"Faltan fechas",IF(Acciones!$H181="","",IF(AND(Acciones!$H181&gt;=TODAY(),ISBLANK(Acciones!$J181)=TRUE),"En tiempo",IF(AND(Acciones!$H181&lt;TODAY(),Acciones!$J181=""),"Retrasado",IF(Acciones!$J181&gt;Acciones!$H181,"Cerrado con retraso","Cerrado")))))</f>
        <v/>
      </c>
      <c r="L181" s="61"/>
      <c r="M181" s="74"/>
      <c r="T181" s="22"/>
      <c r="U181" s="22"/>
    </row>
    <row r="182" spans="2:21" x14ac:dyDescent="0.3">
      <c r="B182" s="53"/>
      <c r="C182" s="65"/>
      <c r="D182" s="61"/>
      <c r="E182" s="56"/>
      <c r="F182" s="53"/>
      <c r="G182" s="53" t="str">
        <f>IF(ISBLANK(Acciones!$H182)=TRUE," ",WEEKNUM(Acciones!$H182,21))</f>
        <v xml:space="preserve"> </v>
      </c>
      <c r="H182" s="53"/>
      <c r="I182" s="66"/>
      <c r="J182" s="53"/>
      <c r="K182" s="48" t="str">
        <f ca="1">IF(AND(ISBLANK(Acciones!$D182)=FALSE,ISBLANK(Acciones!$H182)=TRUE),"Faltan fechas",IF(Acciones!$H182="","",IF(AND(Acciones!$H182&gt;=TODAY(),ISBLANK(Acciones!$J182)=TRUE),"En tiempo",IF(AND(Acciones!$H182&lt;TODAY(),Acciones!$J182=""),"Retrasado",IF(Acciones!$J182&gt;Acciones!$H182,"Cerrado con retraso","Cerrado")))))</f>
        <v/>
      </c>
      <c r="L182" s="61"/>
      <c r="M182" s="74"/>
      <c r="T182" s="22"/>
      <c r="U182" s="22"/>
    </row>
    <row r="183" spans="2:21" x14ac:dyDescent="0.3">
      <c r="B183" s="53"/>
      <c r="C183" s="65"/>
      <c r="D183" s="61"/>
      <c r="E183" s="56"/>
      <c r="F183" s="53"/>
      <c r="G183" s="53" t="str">
        <f>IF(ISBLANK(Acciones!$H183)=TRUE," ",WEEKNUM(Acciones!$H183,21))</f>
        <v xml:space="preserve"> </v>
      </c>
      <c r="H183" s="53"/>
      <c r="I183" s="66"/>
      <c r="J183" s="53"/>
      <c r="K183" s="48" t="str">
        <f ca="1">IF(AND(ISBLANK(Acciones!$D183)=FALSE,ISBLANK(Acciones!$H183)=TRUE),"Faltan fechas",IF(Acciones!$H183="","",IF(AND(Acciones!$H183&gt;=TODAY(),ISBLANK(Acciones!$J183)=TRUE),"En tiempo",IF(AND(Acciones!$H183&lt;TODAY(),Acciones!$J183=""),"Retrasado",IF(Acciones!$J183&gt;Acciones!$H183,"Cerrado con retraso","Cerrado")))))</f>
        <v/>
      </c>
      <c r="L183" s="61"/>
      <c r="M183" s="74"/>
      <c r="T183" s="22"/>
      <c r="U183" s="22"/>
    </row>
    <row r="184" spans="2:21" x14ac:dyDescent="0.3">
      <c r="B184" s="53"/>
      <c r="C184" s="65"/>
      <c r="D184" s="61"/>
      <c r="E184" s="56"/>
      <c r="F184" s="53"/>
      <c r="G184" s="53" t="str">
        <f>IF(ISBLANK(Acciones!$H184)=TRUE," ",WEEKNUM(Acciones!$H184,21))</f>
        <v xml:space="preserve"> </v>
      </c>
      <c r="H184" s="53"/>
      <c r="I184" s="66"/>
      <c r="J184" s="53"/>
      <c r="K184" s="48" t="str">
        <f ca="1">IF(AND(ISBLANK(Acciones!$D184)=FALSE,ISBLANK(Acciones!$H184)=TRUE),"Faltan fechas",IF(Acciones!$H184="","",IF(AND(Acciones!$H184&gt;=TODAY(),ISBLANK(Acciones!$J184)=TRUE),"En tiempo",IF(AND(Acciones!$H184&lt;TODAY(),Acciones!$J184=""),"Retrasado",IF(Acciones!$J184&gt;Acciones!$H184,"Cerrado con retraso","Cerrado")))))</f>
        <v/>
      </c>
      <c r="L184" s="61"/>
      <c r="M184" s="74"/>
      <c r="T184" s="22"/>
      <c r="U184" s="22"/>
    </row>
    <row r="185" spans="2:21" x14ac:dyDescent="0.3">
      <c r="B185" s="53"/>
      <c r="C185" s="65"/>
      <c r="D185" s="61"/>
      <c r="E185" s="56"/>
      <c r="F185" s="53"/>
      <c r="G185" s="53" t="str">
        <f>IF(ISBLANK(Acciones!$H185)=TRUE," ",WEEKNUM(Acciones!$H185,21))</f>
        <v xml:space="preserve"> </v>
      </c>
      <c r="H185" s="53"/>
      <c r="I185" s="66"/>
      <c r="J185" s="53"/>
      <c r="K185" s="48" t="str">
        <f ca="1">IF(AND(ISBLANK(Acciones!$D185)=FALSE,ISBLANK(Acciones!$H185)=TRUE),"Faltan fechas",IF(Acciones!$H185="","",IF(AND(Acciones!$H185&gt;=TODAY(),ISBLANK(Acciones!$J185)=TRUE),"En tiempo",IF(AND(Acciones!$H185&lt;TODAY(),Acciones!$J185=""),"Retrasado",IF(Acciones!$J185&gt;Acciones!$H185,"Cerrado con retraso","Cerrado")))))</f>
        <v/>
      </c>
      <c r="L185" s="61"/>
      <c r="M185" s="74"/>
      <c r="T185" s="22"/>
      <c r="U185" s="22"/>
    </row>
    <row r="186" spans="2:21" x14ac:dyDescent="0.3">
      <c r="B186" s="53"/>
      <c r="C186" s="65"/>
      <c r="D186" s="61"/>
      <c r="E186" s="56"/>
      <c r="F186" s="53"/>
      <c r="G186" s="53" t="str">
        <f>IF(ISBLANK(Acciones!$H186)=TRUE," ",WEEKNUM(Acciones!$H186,21))</f>
        <v xml:space="preserve"> </v>
      </c>
      <c r="H186" s="53"/>
      <c r="I186" s="66"/>
      <c r="J186" s="53"/>
      <c r="K186" s="48" t="str">
        <f ca="1">IF(AND(ISBLANK(Acciones!$D186)=FALSE,ISBLANK(Acciones!$H186)=TRUE),"Faltan fechas",IF(Acciones!$H186="","",IF(AND(Acciones!$H186&gt;=TODAY(),ISBLANK(Acciones!$J186)=TRUE),"En tiempo",IF(AND(Acciones!$H186&lt;TODAY(),Acciones!$J186=""),"Retrasado",IF(Acciones!$J186&gt;Acciones!$H186,"Cerrado con retraso","Cerrado")))))</f>
        <v/>
      </c>
      <c r="L186" s="61"/>
      <c r="M186" s="74"/>
      <c r="T186" s="22"/>
      <c r="U186" s="22"/>
    </row>
    <row r="187" spans="2:21" x14ac:dyDescent="0.3">
      <c r="B187" s="53"/>
      <c r="C187" s="65"/>
      <c r="D187" s="61"/>
      <c r="E187" s="56"/>
      <c r="F187" s="53"/>
      <c r="G187" s="53" t="str">
        <f>IF(ISBLANK(Acciones!$H187)=TRUE," ",WEEKNUM(Acciones!$H187,21))</f>
        <v xml:space="preserve"> </v>
      </c>
      <c r="H187" s="53"/>
      <c r="I187" s="66"/>
      <c r="J187" s="53"/>
      <c r="K187" s="48" t="str">
        <f ca="1">IF(AND(ISBLANK(Acciones!$D187)=FALSE,ISBLANK(Acciones!$H187)=TRUE),"Faltan fechas",IF(Acciones!$H187="","",IF(AND(Acciones!$H187&gt;=TODAY(),ISBLANK(Acciones!$J187)=TRUE),"En tiempo",IF(AND(Acciones!$H187&lt;TODAY(),Acciones!$J187=""),"Retrasado",IF(Acciones!$J187&gt;Acciones!$H187,"Cerrado con retraso","Cerrado")))))</f>
        <v/>
      </c>
      <c r="L187" s="61"/>
      <c r="M187" s="74"/>
      <c r="T187" s="22"/>
      <c r="U187" s="22"/>
    </row>
    <row r="188" spans="2:21" x14ac:dyDescent="0.3">
      <c r="B188" s="53"/>
      <c r="C188" s="65"/>
      <c r="D188" s="61"/>
      <c r="E188" s="56"/>
      <c r="F188" s="53"/>
      <c r="G188" s="53" t="str">
        <f>IF(ISBLANK(Acciones!$H188)=TRUE," ",WEEKNUM(Acciones!$H188,21))</f>
        <v xml:space="preserve"> </v>
      </c>
      <c r="H188" s="53"/>
      <c r="I188" s="66"/>
      <c r="J188" s="53"/>
      <c r="K188" s="48" t="str">
        <f ca="1">IF(AND(ISBLANK(Acciones!$D188)=FALSE,ISBLANK(Acciones!$H188)=TRUE),"Faltan fechas",IF(Acciones!$H188="","",IF(AND(Acciones!$H188&gt;=TODAY(),ISBLANK(Acciones!$J188)=TRUE),"En tiempo",IF(AND(Acciones!$H188&lt;TODAY(),Acciones!$J188=""),"Retrasado",IF(Acciones!$J188&gt;Acciones!$H188,"Cerrado con retraso","Cerrado")))))</f>
        <v/>
      </c>
      <c r="L188" s="61"/>
      <c r="M188" s="74"/>
      <c r="T188" s="22"/>
      <c r="U188" s="22"/>
    </row>
    <row r="189" spans="2:21" x14ac:dyDescent="0.3">
      <c r="B189" s="53"/>
      <c r="C189" s="65"/>
      <c r="D189" s="61"/>
      <c r="E189" s="56"/>
      <c r="F189" s="53"/>
      <c r="G189" s="53" t="str">
        <f>IF(ISBLANK(Acciones!$H189)=TRUE," ",WEEKNUM(Acciones!$H189,21))</f>
        <v xml:space="preserve"> </v>
      </c>
      <c r="H189" s="53"/>
      <c r="I189" s="66"/>
      <c r="J189" s="53"/>
      <c r="K189" s="48" t="str">
        <f ca="1">IF(AND(ISBLANK(Acciones!$D189)=FALSE,ISBLANK(Acciones!$H189)=TRUE),"Faltan fechas",IF(Acciones!$H189="","",IF(AND(Acciones!$H189&gt;=TODAY(),ISBLANK(Acciones!$J189)=TRUE),"En tiempo",IF(AND(Acciones!$H189&lt;TODAY(),Acciones!$J189=""),"Retrasado",IF(Acciones!$J189&gt;Acciones!$H189,"Cerrado con retraso","Cerrado")))))</f>
        <v/>
      </c>
      <c r="L189" s="61"/>
      <c r="M189" s="74"/>
      <c r="T189" s="22"/>
      <c r="U189" s="22"/>
    </row>
    <row r="190" spans="2:21" x14ac:dyDescent="0.3">
      <c r="B190" s="53"/>
      <c r="C190" s="65"/>
      <c r="D190" s="61"/>
      <c r="E190" s="56"/>
      <c r="F190" s="53"/>
      <c r="G190" s="53" t="str">
        <f>IF(ISBLANK(Acciones!$H190)=TRUE," ",WEEKNUM(Acciones!$H190,21))</f>
        <v xml:space="preserve"> </v>
      </c>
      <c r="H190" s="53"/>
      <c r="I190" s="66"/>
      <c r="J190" s="53"/>
      <c r="K190" s="48" t="str">
        <f ca="1">IF(AND(ISBLANK(Acciones!$D190)=FALSE,ISBLANK(Acciones!$H190)=TRUE),"Faltan fechas",IF(Acciones!$H190="","",IF(AND(Acciones!$H190&gt;=TODAY(),ISBLANK(Acciones!$J190)=TRUE),"En tiempo",IF(AND(Acciones!$H190&lt;TODAY(),Acciones!$J190=""),"Retrasado",IF(Acciones!$J190&gt;Acciones!$H190,"Cerrado con retraso","Cerrado")))))</f>
        <v/>
      </c>
      <c r="L190" s="61"/>
      <c r="M190" s="74"/>
      <c r="T190" s="22"/>
      <c r="U190" s="22"/>
    </row>
    <row r="191" spans="2:21" x14ac:dyDescent="0.3">
      <c r="B191" s="53"/>
      <c r="C191" s="65"/>
      <c r="D191" s="61"/>
      <c r="E191" s="56"/>
      <c r="F191" s="53"/>
      <c r="G191" s="53" t="str">
        <f>IF(ISBLANK(Acciones!$H191)=TRUE," ",WEEKNUM(Acciones!$H191,21))</f>
        <v xml:space="preserve"> </v>
      </c>
      <c r="H191" s="53"/>
      <c r="I191" s="66"/>
      <c r="J191" s="53"/>
      <c r="K191" s="48" t="str">
        <f ca="1">IF(AND(ISBLANK(Acciones!$D191)=FALSE,ISBLANK(Acciones!$H191)=TRUE),"Faltan fechas",IF(Acciones!$H191="","",IF(AND(Acciones!$H191&gt;=TODAY(),ISBLANK(Acciones!$J191)=TRUE),"En tiempo",IF(AND(Acciones!$H191&lt;TODAY(),Acciones!$J191=""),"Retrasado",IF(Acciones!$J191&gt;Acciones!$H191,"Cerrado con retraso","Cerrado")))))</f>
        <v/>
      </c>
      <c r="L191" s="61"/>
      <c r="M191" s="74"/>
      <c r="T191" s="22"/>
      <c r="U191" s="22"/>
    </row>
    <row r="192" spans="2:21" x14ac:dyDescent="0.3">
      <c r="B192" s="53"/>
      <c r="C192" s="65"/>
      <c r="D192" s="61"/>
      <c r="E192" s="56"/>
      <c r="F192" s="53"/>
      <c r="G192" s="53" t="str">
        <f>IF(ISBLANK(Acciones!$H192)=TRUE," ",WEEKNUM(Acciones!$H192,21))</f>
        <v xml:space="preserve"> </v>
      </c>
      <c r="H192" s="53"/>
      <c r="I192" s="66"/>
      <c r="J192" s="53"/>
      <c r="K192" s="48" t="str">
        <f ca="1">IF(AND(ISBLANK(Acciones!$D192)=FALSE,ISBLANK(Acciones!$H192)=TRUE),"Faltan fechas",IF(Acciones!$H192="","",IF(AND(Acciones!$H192&gt;=TODAY(),ISBLANK(Acciones!$J192)=TRUE),"En tiempo",IF(AND(Acciones!$H192&lt;TODAY(),Acciones!$J192=""),"Retrasado",IF(Acciones!$J192&gt;Acciones!$H192,"Cerrado con retraso","Cerrado")))))</f>
        <v/>
      </c>
      <c r="L192" s="61"/>
      <c r="M192" s="74"/>
      <c r="T192" s="22"/>
      <c r="U192" s="22"/>
    </row>
    <row r="193" spans="2:21" x14ac:dyDescent="0.3">
      <c r="B193" s="53"/>
      <c r="C193" s="65"/>
      <c r="D193" s="61"/>
      <c r="E193" s="56"/>
      <c r="F193" s="53"/>
      <c r="G193" s="53" t="str">
        <f>IF(ISBLANK(Acciones!$H193)=TRUE," ",WEEKNUM(Acciones!$H193,21))</f>
        <v xml:space="preserve"> </v>
      </c>
      <c r="H193" s="53"/>
      <c r="I193" s="66"/>
      <c r="J193" s="53"/>
      <c r="K193" s="48" t="str">
        <f ca="1">IF(AND(ISBLANK(Acciones!$D193)=FALSE,ISBLANK(Acciones!$H193)=TRUE),"Faltan fechas",IF(Acciones!$H193="","",IF(AND(Acciones!$H193&gt;=TODAY(),ISBLANK(Acciones!$J193)=TRUE),"En tiempo",IF(AND(Acciones!$H193&lt;TODAY(),Acciones!$J193=""),"Retrasado",IF(Acciones!$J193&gt;Acciones!$H193,"Cerrado con retraso","Cerrado")))))</f>
        <v/>
      </c>
      <c r="L193" s="61"/>
      <c r="M193" s="74"/>
      <c r="T193" s="22"/>
      <c r="U193" s="22"/>
    </row>
    <row r="194" spans="2:21" x14ac:dyDescent="0.3">
      <c r="B194" s="53"/>
      <c r="C194" s="65"/>
      <c r="D194" s="61"/>
      <c r="E194" s="56"/>
      <c r="F194" s="53"/>
      <c r="G194" s="53" t="str">
        <f>IF(ISBLANK(Acciones!$H194)=TRUE," ",WEEKNUM(Acciones!$H194,21))</f>
        <v xml:space="preserve"> </v>
      </c>
      <c r="H194" s="53"/>
      <c r="I194" s="66"/>
      <c r="J194" s="53"/>
      <c r="K194" s="48" t="str">
        <f ca="1">IF(AND(ISBLANK(Acciones!$D194)=FALSE,ISBLANK(Acciones!$H194)=TRUE),"Faltan fechas",IF(Acciones!$H194="","",IF(AND(Acciones!$H194&gt;=TODAY(),ISBLANK(Acciones!$J194)=TRUE),"En tiempo",IF(AND(Acciones!$H194&lt;TODAY(),Acciones!$J194=""),"Retrasado",IF(Acciones!$J194&gt;Acciones!$H194,"Cerrado con retraso","Cerrado")))))</f>
        <v/>
      </c>
      <c r="L194" s="61"/>
      <c r="M194" s="74"/>
      <c r="T194" s="22"/>
      <c r="U194" s="22"/>
    </row>
    <row r="195" spans="2:21" x14ac:dyDescent="0.3">
      <c r="B195" s="53"/>
      <c r="C195" s="65"/>
      <c r="D195" s="61"/>
      <c r="E195" s="56"/>
      <c r="F195" s="53"/>
      <c r="G195" s="53" t="str">
        <f>IF(ISBLANK(Acciones!$H195)=TRUE," ",WEEKNUM(Acciones!$H195,21))</f>
        <v xml:space="preserve"> </v>
      </c>
      <c r="H195" s="53"/>
      <c r="I195" s="66"/>
      <c r="J195" s="53"/>
      <c r="K195" s="48" t="str">
        <f ca="1">IF(AND(ISBLANK(Acciones!$D195)=FALSE,ISBLANK(Acciones!$H195)=TRUE),"Faltan fechas",IF(Acciones!$H195="","",IF(AND(Acciones!$H195&gt;=TODAY(),ISBLANK(Acciones!$J195)=TRUE),"En tiempo",IF(AND(Acciones!$H195&lt;TODAY(),Acciones!$J195=""),"Retrasado",IF(Acciones!$J195&gt;Acciones!$H195,"Cerrado con retraso","Cerrado")))))</f>
        <v/>
      </c>
      <c r="L195" s="61"/>
      <c r="M195" s="74"/>
      <c r="T195" s="22"/>
      <c r="U195" s="22"/>
    </row>
    <row r="196" spans="2:21" x14ac:dyDescent="0.3">
      <c r="B196" s="53"/>
      <c r="C196" s="65"/>
      <c r="D196" s="61"/>
      <c r="E196" s="56"/>
      <c r="F196" s="53"/>
      <c r="G196" s="53" t="str">
        <f>IF(ISBLANK(Acciones!$H196)=TRUE," ",WEEKNUM(Acciones!$H196,21))</f>
        <v xml:space="preserve"> </v>
      </c>
      <c r="H196" s="53"/>
      <c r="I196" s="66"/>
      <c r="J196" s="53"/>
      <c r="K196" s="48" t="str">
        <f ca="1">IF(AND(ISBLANK(Acciones!$D196)=FALSE,ISBLANK(Acciones!$H196)=TRUE),"Faltan fechas",IF(Acciones!$H196="","",IF(AND(Acciones!$H196&gt;=TODAY(),ISBLANK(Acciones!$J196)=TRUE),"En tiempo",IF(AND(Acciones!$H196&lt;TODAY(),Acciones!$J196=""),"Retrasado",IF(Acciones!$J196&gt;Acciones!$H196,"Cerrado con retraso","Cerrado")))))</f>
        <v/>
      </c>
      <c r="L196" s="61"/>
      <c r="M196" s="74"/>
      <c r="T196" s="22"/>
      <c r="U196" s="22"/>
    </row>
    <row r="197" spans="2:21" x14ac:dyDescent="0.3">
      <c r="B197" s="53"/>
      <c r="C197" s="65"/>
      <c r="D197" s="61"/>
      <c r="E197" s="56"/>
      <c r="F197" s="53"/>
      <c r="G197" s="53" t="str">
        <f>IF(ISBLANK(Acciones!$H197)=TRUE," ",WEEKNUM(Acciones!$H197,21))</f>
        <v xml:space="preserve"> </v>
      </c>
      <c r="H197" s="53"/>
      <c r="I197" s="66"/>
      <c r="J197" s="53"/>
      <c r="K197" s="48" t="str">
        <f ca="1">IF(AND(ISBLANK(Acciones!$D197)=FALSE,ISBLANK(Acciones!$H197)=TRUE),"Faltan fechas",IF(Acciones!$H197="","",IF(AND(Acciones!$H197&gt;=TODAY(),ISBLANK(Acciones!$J197)=TRUE),"En tiempo",IF(AND(Acciones!$H197&lt;TODAY(),Acciones!$J197=""),"Retrasado",IF(Acciones!$J197&gt;Acciones!$H197,"Cerrado con retraso","Cerrado")))))</f>
        <v/>
      </c>
      <c r="L197" s="61"/>
      <c r="M197" s="74"/>
      <c r="T197" s="22"/>
      <c r="U197" s="22"/>
    </row>
    <row r="198" spans="2:21" x14ac:dyDescent="0.3">
      <c r="B198" s="53"/>
      <c r="C198" s="65"/>
      <c r="D198" s="61"/>
      <c r="E198" s="56"/>
      <c r="F198" s="53"/>
      <c r="G198" s="53" t="str">
        <f>IF(ISBLANK(Acciones!$H198)=TRUE," ",WEEKNUM(Acciones!$H198,21))</f>
        <v xml:space="preserve"> </v>
      </c>
      <c r="H198" s="53"/>
      <c r="I198" s="66"/>
      <c r="J198" s="53"/>
      <c r="K198" s="48" t="str">
        <f ca="1">IF(AND(ISBLANK(Acciones!$D198)=FALSE,ISBLANK(Acciones!$H198)=TRUE),"Faltan fechas",IF(Acciones!$H198="","",IF(AND(Acciones!$H198&gt;=TODAY(),ISBLANK(Acciones!$J198)=TRUE),"En tiempo",IF(AND(Acciones!$H198&lt;TODAY(),Acciones!$J198=""),"Retrasado",IF(Acciones!$J198&gt;Acciones!$H198,"Cerrado con retraso","Cerrado")))))</f>
        <v/>
      </c>
      <c r="L198" s="61"/>
      <c r="M198" s="74"/>
      <c r="T198" s="22"/>
      <c r="U198" s="22"/>
    </row>
    <row r="199" spans="2:21" x14ac:dyDescent="0.3">
      <c r="B199" s="53"/>
      <c r="C199" s="65"/>
      <c r="D199" s="61"/>
      <c r="E199" s="56"/>
      <c r="F199" s="53"/>
      <c r="G199" s="53" t="str">
        <f>IF(ISBLANK(Acciones!$H199)=TRUE," ",WEEKNUM(Acciones!$H199,21))</f>
        <v xml:space="preserve"> </v>
      </c>
      <c r="H199" s="53"/>
      <c r="I199" s="66"/>
      <c r="J199" s="53"/>
      <c r="K199" s="48" t="str">
        <f ca="1">IF(AND(ISBLANK(Acciones!$D199)=FALSE,ISBLANK(Acciones!$H199)=TRUE),"Faltan fechas",IF(Acciones!$H199="","",IF(AND(Acciones!$H199&gt;=TODAY(),ISBLANK(Acciones!$J199)=TRUE),"En tiempo",IF(AND(Acciones!$H199&lt;TODAY(),Acciones!$J199=""),"Retrasado",IF(Acciones!$J199&gt;Acciones!$H199,"Cerrado con retraso","Cerrado")))))</f>
        <v/>
      </c>
      <c r="L199" s="61"/>
      <c r="M199" s="74"/>
      <c r="T199" s="22"/>
      <c r="U199" s="22"/>
    </row>
    <row r="200" spans="2:21" x14ac:dyDescent="0.3">
      <c r="B200" s="53"/>
      <c r="C200" s="65"/>
      <c r="D200" s="61"/>
      <c r="E200" s="56"/>
      <c r="F200" s="53"/>
      <c r="G200" s="53" t="str">
        <f>IF(ISBLANK(Acciones!$H200)=TRUE," ",WEEKNUM(Acciones!$H200,21))</f>
        <v xml:space="preserve"> </v>
      </c>
      <c r="H200" s="53"/>
      <c r="I200" s="66"/>
      <c r="J200" s="53"/>
      <c r="K200" s="48" t="str">
        <f ca="1">IF(AND(ISBLANK(Acciones!$D200)=FALSE,ISBLANK(Acciones!$H200)=TRUE),"Faltan fechas",IF(Acciones!$H200="","",IF(AND(Acciones!$H200&gt;=TODAY(),ISBLANK(Acciones!$J200)=TRUE),"En tiempo",IF(AND(Acciones!$H200&lt;TODAY(),Acciones!$J200=""),"Retrasado",IF(Acciones!$J200&gt;Acciones!$H200,"Cerrado con retraso","Cerrado")))))</f>
        <v/>
      </c>
      <c r="L200" s="61"/>
      <c r="M200" s="74"/>
      <c r="T200" s="22"/>
      <c r="U200" s="22"/>
    </row>
    <row r="201" spans="2:21" x14ac:dyDescent="0.3">
      <c r="B201" s="53"/>
      <c r="C201" s="65"/>
      <c r="D201" s="61"/>
      <c r="E201" s="56"/>
      <c r="F201" s="53"/>
      <c r="G201" s="53" t="str">
        <f>IF(ISBLANK(Acciones!$H201)=TRUE," ",WEEKNUM(Acciones!$H201,21))</f>
        <v xml:space="preserve"> </v>
      </c>
      <c r="H201" s="53"/>
      <c r="I201" s="66"/>
      <c r="J201" s="53"/>
      <c r="K201" s="48" t="str">
        <f ca="1">IF(AND(ISBLANK(Acciones!$D201)=FALSE,ISBLANK(Acciones!$H201)=TRUE),"Faltan fechas",IF(Acciones!$H201="","",IF(AND(Acciones!$H201&gt;=TODAY(),ISBLANK(Acciones!$J201)=TRUE),"En tiempo",IF(AND(Acciones!$H201&lt;TODAY(),Acciones!$J201=""),"Retrasado",IF(Acciones!$J201&gt;Acciones!$H201,"Cerrado con retraso","Cerrado")))))</f>
        <v/>
      </c>
      <c r="L201" s="61"/>
      <c r="M201" s="74"/>
      <c r="T201" s="22"/>
      <c r="U201" s="22"/>
    </row>
    <row r="202" spans="2:21" x14ac:dyDescent="0.3">
      <c r="B202" s="53"/>
      <c r="C202" s="65"/>
      <c r="D202" s="61"/>
      <c r="E202" s="56"/>
      <c r="F202" s="53"/>
      <c r="G202" s="53" t="str">
        <f>IF(ISBLANK(Acciones!$H202)=TRUE," ",WEEKNUM(Acciones!$H202,21))</f>
        <v xml:space="preserve"> </v>
      </c>
      <c r="H202" s="53"/>
      <c r="I202" s="66"/>
      <c r="J202" s="53"/>
      <c r="K202" s="48" t="str">
        <f ca="1">IF(AND(ISBLANK(Acciones!$D202)=FALSE,ISBLANK(Acciones!$H202)=TRUE),"Faltan fechas",IF(Acciones!$H202="","",IF(AND(Acciones!$H202&gt;=TODAY(),ISBLANK(Acciones!$J202)=TRUE),"En tiempo",IF(AND(Acciones!$H202&lt;TODAY(),Acciones!$J202=""),"Retrasado",IF(Acciones!$J202&gt;Acciones!$H202,"Cerrado con retraso","Cerrado")))))</f>
        <v/>
      </c>
      <c r="L202" s="61"/>
      <c r="M202" s="74"/>
      <c r="T202" s="22"/>
      <c r="U202" s="22"/>
    </row>
    <row r="203" spans="2:21" x14ac:dyDescent="0.3">
      <c r="B203" s="53"/>
      <c r="C203" s="65"/>
      <c r="D203" s="61"/>
      <c r="E203" s="56"/>
      <c r="F203" s="53"/>
      <c r="G203" s="53" t="str">
        <f>IF(ISBLANK(Acciones!$H203)=TRUE," ",WEEKNUM(Acciones!$H203,21))</f>
        <v xml:space="preserve"> </v>
      </c>
      <c r="H203" s="53"/>
      <c r="I203" s="66"/>
      <c r="J203" s="53"/>
      <c r="K203" s="48" t="str">
        <f ca="1">IF(AND(ISBLANK(Acciones!$D203)=FALSE,ISBLANK(Acciones!$H203)=TRUE),"Faltan fechas",IF(Acciones!$H203="","",IF(AND(Acciones!$H203&gt;=TODAY(),ISBLANK(Acciones!$J203)=TRUE),"En tiempo",IF(AND(Acciones!$H203&lt;TODAY(),Acciones!$J203=""),"Retrasado",IF(Acciones!$J203&gt;Acciones!$H203,"Cerrado con retraso","Cerrado")))))</f>
        <v/>
      </c>
      <c r="L203" s="61"/>
      <c r="M203" s="74"/>
      <c r="T203" s="22"/>
      <c r="U203" s="22"/>
    </row>
    <row r="204" spans="2:21" x14ac:dyDescent="0.3">
      <c r="B204" s="53"/>
      <c r="C204" s="65"/>
      <c r="D204" s="61"/>
      <c r="E204" s="56"/>
      <c r="F204" s="53"/>
      <c r="G204" s="53" t="str">
        <f>IF(ISBLANK(Acciones!$H204)=TRUE," ",WEEKNUM(Acciones!$H204,21))</f>
        <v xml:space="preserve"> </v>
      </c>
      <c r="H204" s="53"/>
      <c r="I204" s="66"/>
      <c r="J204" s="53"/>
      <c r="K204" s="48" t="str">
        <f ca="1">IF(AND(ISBLANK(Acciones!$D204)=FALSE,ISBLANK(Acciones!$H204)=TRUE),"Faltan fechas",IF(Acciones!$H204="","",IF(AND(Acciones!$H204&gt;=TODAY(),ISBLANK(Acciones!$J204)=TRUE),"En tiempo",IF(AND(Acciones!$H204&lt;TODAY(),Acciones!$J204=""),"Retrasado",IF(Acciones!$J204&gt;Acciones!$H204,"Cerrado con retraso","Cerrado")))))</f>
        <v/>
      </c>
      <c r="L204" s="61"/>
      <c r="M204" s="74"/>
      <c r="T204" s="22"/>
      <c r="U204" s="22"/>
    </row>
    <row r="205" spans="2:21" x14ac:dyDescent="0.3">
      <c r="B205" s="53"/>
      <c r="C205" s="65"/>
      <c r="D205" s="61"/>
      <c r="E205" s="56"/>
      <c r="F205" s="53"/>
      <c r="G205" s="53" t="str">
        <f>IF(ISBLANK(Acciones!$H205)=TRUE," ",WEEKNUM(Acciones!$H205,21))</f>
        <v xml:space="preserve"> </v>
      </c>
      <c r="H205" s="53"/>
      <c r="I205" s="66"/>
      <c r="J205" s="53"/>
      <c r="K205" s="48" t="str">
        <f ca="1">IF(AND(ISBLANK(Acciones!$D205)=FALSE,ISBLANK(Acciones!$H205)=TRUE),"Faltan fechas",IF(Acciones!$H205="","",IF(AND(Acciones!$H205&gt;=TODAY(),ISBLANK(Acciones!$J205)=TRUE),"En tiempo",IF(AND(Acciones!$H205&lt;TODAY(),Acciones!$J205=""),"Retrasado",IF(Acciones!$J205&gt;Acciones!$H205,"Cerrado con retraso","Cerrado")))))</f>
        <v/>
      </c>
      <c r="L205" s="61"/>
      <c r="M205" s="74"/>
      <c r="T205" s="22"/>
      <c r="U205" s="22"/>
    </row>
    <row r="206" spans="2:21" x14ac:dyDescent="0.3">
      <c r="B206" s="53"/>
      <c r="C206" s="65"/>
      <c r="D206" s="61"/>
      <c r="E206" s="56"/>
      <c r="F206" s="53"/>
      <c r="G206" s="53" t="str">
        <f>IF(ISBLANK(Acciones!$H206)=TRUE," ",WEEKNUM(Acciones!$H206,21))</f>
        <v xml:space="preserve"> </v>
      </c>
      <c r="H206" s="53"/>
      <c r="I206" s="66"/>
      <c r="J206" s="53"/>
      <c r="K206" s="48" t="str">
        <f ca="1">IF(AND(ISBLANK(Acciones!$D206)=FALSE,ISBLANK(Acciones!$H206)=TRUE),"Faltan fechas",IF(Acciones!$H206="","",IF(AND(Acciones!$H206&gt;=TODAY(),ISBLANK(Acciones!$J206)=TRUE),"En tiempo",IF(AND(Acciones!$H206&lt;TODAY(),Acciones!$J206=""),"Retrasado",IF(Acciones!$J206&gt;Acciones!$H206,"Cerrado con retraso","Cerrado")))))</f>
        <v/>
      </c>
      <c r="L206" s="61"/>
      <c r="M206" s="74"/>
      <c r="T206" s="22"/>
      <c r="U206" s="22"/>
    </row>
    <row r="207" spans="2:21" x14ac:dyDescent="0.3">
      <c r="B207" s="53"/>
      <c r="C207" s="65"/>
      <c r="D207" s="61"/>
      <c r="E207" s="56"/>
      <c r="F207" s="53"/>
      <c r="G207" s="53" t="str">
        <f>IF(ISBLANK(Acciones!$H207)=TRUE," ",WEEKNUM(Acciones!$H207,21))</f>
        <v xml:space="preserve"> </v>
      </c>
      <c r="H207" s="53"/>
      <c r="I207" s="66"/>
      <c r="J207" s="53"/>
      <c r="K207" s="48" t="str">
        <f ca="1">IF(AND(ISBLANK(Acciones!$D207)=FALSE,ISBLANK(Acciones!$H207)=TRUE),"Faltan fechas",IF(Acciones!$H207="","",IF(AND(Acciones!$H207&gt;=TODAY(),ISBLANK(Acciones!$J207)=TRUE),"En tiempo",IF(AND(Acciones!$H207&lt;TODAY(),Acciones!$J207=""),"Retrasado",IF(Acciones!$J207&gt;Acciones!$H207,"Cerrado con retraso","Cerrado")))))</f>
        <v/>
      </c>
      <c r="L207" s="61"/>
      <c r="M207" s="74"/>
      <c r="T207" s="22"/>
      <c r="U207" s="22"/>
    </row>
    <row r="208" spans="2:21" x14ac:dyDescent="0.3">
      <c r="B208" s="53"/>
      <c r="C208" s="65"/>
      <c r="D208" s="61"/>
      <c r="E208" s="56"/>
      <c r="F208" s="53"/>
      <c r="G208" s="53" t="str">
        <f>IF(ISBLANK(Acciones!$H208)=TRUE," ",WEEKNUM(Acciones!$H208,21))</f>
        <v xml:space="preserve"> </v>
      </c>
      <c r="H208" s="53"/>
      <c r="I208" s="66"/>
      <c r="J208" s="53"/>
      <c r="K208" s="48" t="str">
        <f ca="1">IF(AND(ISBLANK(Acciones!$D208)=FALSE,ISBLANK(Acciones!$H208)=TRUE),"Faltan fechas",IF(Acciones!$H208="","",IF(AND(Acciones!$H208&gt;=TODAY(),ISBLANK(Acciones!$J208)=TRUE),"En tiempo",IF(AND(Acciones!$H208&lt;TODAY(),Acciones!$J208=""),"Retrasado",IF(Acciones!$J208&gt;Acciones!$H208,"Cerrado con retraso","Cerrado")))))</f>
        <v/>
      </c>
      <c r="L208" s="61"/>
      <c r="M208" s="74"/>
      <c r="T208" s="22"/>
      <c r="U208" s="22"/>
    </row>
    <row r="209" spans="2:21" x14ac:dyDescent="0.3">
      <c r="B209" s="53"/>
      <c r="C209" s="65"/>
      <c r="D209" s="61"/>
      <c r="E209" s="56"/>
      <c r="F209" s="53"/>
      <c r="G209" s="53" t="str">
        <f>IF(ISBLANK(Acciones!$H209)=TRUE," ",WEEKNUM(Acciones!$H209,21))</f>
        <v xml:space="preserve"> </v>
      </c>
      <c r="H209" s="53"/>
      <c r="I209" s="66"/>
      <c r="J209" s="53"/>
      <c r="K209" s="48" t="str">
        <f ca="1">IF(AND(ISBLANK(Acciones!$D209)=FALSE,ISBLANK(Acciones!$H209)=TRUE),"Faltan fechas",IF(Acciones!$H209="","",IF(AND(Acciones!$H209&gt;=TODAY(),ISBLANK(Acciones!$J209)=TRUE),"En tiempo",IF(AND(Acciones!$H209&lt;TODAY(),Acciones!$J209=""),"Retrasado",IF(Acciones!$J209&gt;Acciones!$H209,"Cerrado con retraso","Cerrado")))))</f>
        <v/>
      </c>
      <c r="L209" s="61"/>
      <c r="M209" s="74"/>
      <c r="T209" s="22"/>
      <c r="U209" s="22"/>
    </row>
    <row r="210" spans="2:21" x14ac:dyDescent="0.3">
      <c r="B210" s="53"/>
      <c r="C210" s="65"/>
      <c r="D210" s="61"/>
      <c r="E210" s="56"/>
      <c r="F210" s="53"/>
      <c r="G210" s="53" t="str">
        <f>IF(ISBLANK(Acciones!$H210)=TRUE," ",WEEKNUM(Acciones!$H210,21))</f>
        <v xml:space="preserve"> </v>
      </c>
      <c r="H210" s="53"/>
      <c r="I210" s="66"/>
      <c r="J210" s="53"/>
      <c r="K210" s="48" t="str">
        <f ca="1">IF(AND(ISBLANK(Acciones!$D210)=FALSE,ISBLANK(Acciones!$H210)=TRUE),"Faltan fechas",IF(Acciones!$H210="","",IF(AND(Acciones!$H210&gt;=TODAY(),ISBLANK(Acciones!$J210)=TRUE),"En tiempo",IF(AND(Acciones!$H210&lt;TODAY(),Acciones!$J210=""),"Retrasado",IF(Acciones!$J210&gt;Acciones!$H210,"Cerrado con retraso","Cerrado")))))</f>
        <v/>
      </c>
      <c r="L210" s="61"/>
      <c r="M210" s="74"/>
      <c r="T210" s="22"/>
      <c r="U210" s="22"/>
    </row>
    <row r="211" spans="2:21" x14ac:dyDescent="0.3">
      <c r="B211" s="53"/>
      <c r="C211" s="65"/>
      <c r="D211" s="61"/>
      <c r="E211" s="56"/>
      <c r="F211" s="53"/>
      <c r="G211" s="53" t="str">
        <f>IF(ISBLANK(Acciones!$H211)=TRUE," ",WEEKNUM(Acciones!$H211,21))</f>
        <v xml:space="preserve"> </v>
      </c>
      <c r="H211" s="53"/>
      <c r="I211" s="66"/>
      <c r="J211" s="53"/>
      <c r="K211" s="48" t="str">
        <f ca="1">IF(AND(ISBLANK(Acciones!$D211)=FALSE,ISBLANK(Acciones!$H211)=TRUE),"Faltan fechas",IF(Acciones!$H211="","",IF(AND(Acciones!$H211&gt;=TODAY(),ISBLANK(Acciones!$J211)=TRUE),"En tiempo",IF(AND(Acciones!$H211&lt;TODAY(),Acciones!$J211=""),"Retrasado",IF(Acciones!$J211&gt;Acciones!$H211,"Cerrado con retraso","Cerrado")))))</f>
        <v/>
      </c>
      <c r="L211" s="61"/>
      <c r="M211" s="74"/>
      <c r="T211" s="22"/>
      <c r="U211" s="22"/>
    </row>
    <row r="212" spans="2:21" x14ac:dyDescent="0.3">
      <c r="B212" s="53"/>
      <c r="C212" s="65"/>
      <c r="D212" s="61"/>
      <c r="E212" s="56"/>
      <c r="F212" s="53"/>
      <c r="G212" s="53" t="str">
        <f>IF(ISBLANK(Acciones!$H212)=TRUE," ",WEEKNUM(Acciones!$H212,21))</f>
        <v xml:space="preserve"> </v>
      </c>
      <c r="H212" s="53"/>
      <c r="I212" s="66"/>
      <c r="J212" s="53"/>
      <c r="K212" s="48" t="str">
        <f ca="1">IF(AND(ISBLANK(Acciones!$D212)=FALSE,ISBLANK(Acciones!$H212)=TRUE),"Faltan fechas",IF(Acciones!$H212="","",IF(AND(Acciones!$H212&gt;=TODAY(),ISBLANK(Acciones!$J212)=TRUE),"En tiempo",IF(AND(Acciones!$H212&lt;TODAY(),Acciones!$J212=""),"Retrasado",IF(Acciones!$J212&gt;Acciones!$H212,"Cerrado con retraso","Cerrado")))))</f>
        <v/>
      </c>
      <c r="L212" s="61"/>
      <c r="M212" s="74"/>
      <c r="T212" s="22"/>
      <c r="U212" s="22"/>
    </row>
    <row r="213" spans="2:21" x14ac:dyDescent="0.3">
      <c r="B213" s="53"/>
      <c r="C213" s="65"/>
      <c r="D213" s="61"/>
      <c r="E213" s="56"/>
      <c r="F213" s="53"/>
      <c r="G213" s="53" t="str">
        <f>IF(ISBLANK(Acciones!$H213)=TRUE," ",WEEKNUM(Acciones!$H213,21))</f>
        <v xml:space="preserve"> </v>
      </c>
      <c r="H213" s="53"/>
      <c r="I213" s="66"/>
      <c r="J213" s="53"/>
      <c r="K213" s="48" t="str">
        <f ca="1">IF(AND(ISBLANK(Acciones!$D213)=FALSE,ISBLANK(Acciones!$H213)=TRUE),"Faltan fechas",IF(Acciones!$H213="","",IF(AND(Acciones!$H213&gt;=TODAY(),ISBLANK(Acciones!$J213)=TRUE),"En tiempo",IF(AND(Acciones!$H213&lt;TODAY(),Acciones!$J213=""),"Retrasado",IF(Acciones!$J213&gt;Acciones!$H213,"Cerrado con retraso","Cerrado")))))</f>
        <v/>
      </c>
      <c r="L213" s="61"/>
      <c r="M213" s="74"/>
      <c r="T213" s="22"/>
      <c r="U213" s="22"/>
    </row>
    <row r="214" spans="2:21" x14ac:dyDescent="0.3">
      <c r="B214" s="53"/>
      <c r="C214" s="65"/>
      <c r="D214" s="61"/>
      <c r="E214" s="56"/>
      <c r="F214" s="53"/>
      <c r="G214" s="53" t="str">
        <f>IF(ISBLANK(Acciones!$H214)=TRUE," ",WEEKNUM(Acciones!$H214,21))</f>
        <v xml:space="preserve"> </v>
      </c>
      <c r="H214" s="53"/>
      <c r="I214" s="66"/>
      <c r="J214" s="53"/>
      <c r="K214" s="48" t="str">
        <f ca="1">IF(AND(ISBLANK(Acciones!$D214)=FALSE,ISBLANK(Acciones!$H214)=TRUE),"Faltan fechas",IF(Acciones!$H214="","",IF(AND(Acciones!$H214&gt;=TODAY(),ISBLANK(Acciones!$J214)=TRUE),"En tiempo",IF(AND(Acciones!$H214&lt;TODAY(),Acciones!$J214=""),"Retrasado",IF(Acciones!$J214&gt;Acciones!$H214,"Cerrado con retraso","Cerrado")))))</f>
        <v/>
      </c>
      <c r="L214" s="61"/>
      <c r="M214" s="74"/>
      <c r="T214" s="22"/>
      <c r="U214" s="22"/>
    </row>
    <row r="215" spans="2:21" x14ac:dyDescent="0.3">
      <c r="B215" s="53"/>
      <c r="C215" s="65"/>
      <c r="D215" s="61"/>
      <c r="E215" s="56"/>
      <c r="F215" s="53"/>
      <c r="G215" s="53" t="str">
        <f>IF(ISBLANK(Acciones!$H215)=TRUE," ",WEEKNUM(Acciones!$H215,21))</f>
        <v xml:space="preserve"> </v>
      </c>
      <c r="H215" s="53"/>
      <c r="I215" s="66"/>
      <c r="J215" s="53"/>
      <c r="K215" s="48" t="str">
        <f ca="1">IF(AND(ISBLANK(Acciones!$D215)=FALSE,ISBLANK(Acciones!$H215)=TRUE),"Faltan fechas",IF(Acciones!$H215="","",IF(AND(Acciones!$H215&gt;=TODAY(),ISBLANK(Acciones!$J215)=TRUE),"En tiempo",IF(AND(Acciones!$H215&lt;TODAY(),Acciones!$J215=""),"Retrasado",IF(Acciones!$J215&gt;Acciones!$H215,"Cerrado con retraso","Cerrado")))))</f>
        <v/>
      </c>
      <c r="L215" s="61"/>
      <c r="M215" s="74"/>
      <c r="T215" s="22"/>
      <c r="U215" s="22"/>
    </row>
    <row r="216" spans="2:21" x14ac:dyDescent="0.3">
      <c r="B216" s="53"/>
      <c r="C216" s="65"/>
      <c r="D216" s="61"/>
      <c r="E216" s="56"/>
      <c r="F216" s="53"/>
      <c r="G216" s="53" t="str">
        <f>IF(ISBLANK(Acciones!$H216)=TRUE," ",WEEKNUM(Acciones!$H216,21))</f>
        <v xml:space="preserve"> </v>
      </c>
      <c r="H216" s="53"/>
      <c r="I216" s="66"/>
      <c r="J216" s="53"/>
      <c r="K216" s="48" t="str">
        <f ca="1">IF(AND(ISBLANK(Acciones!$D216)=FALSE,ISBLANK(Acciones!$H216)=TRUE),"Faltan fechas",IF(Acciones!$H216="","",IF(AND(Acciones!$H216&gt;=TODAY(),ISBLANK(Acciones!$J216)=TRUE),"En tiempo",IF(AND(Acciones!$H216&lt;TODAY(),Acciones!$J216=""),"Retrasado",IF(Acciones!$J216&gt;Acciones!$H216,"Cerrado con retraso","Cerrado")))))</f>
        <v/>
      </c>
      <c r="L216" s="61"/>
      <c r="M216" s="74"/>
      <c r="T216" s="22"/>
      <c r="U216" s="22"/>
    </row>
    <row r="217" spans="2:21" x14ac:dyDescent="0.3">
      <c r="B217" s="53"/>
      <c r="C217" s="65"/>
      <c r="D217" s="61"/>
      <c r="E217" s="56"/>
      <c r="F217" s="53"/>
      <c r="G217" s="53" t="str">
        <f>IF(ISBLANK(Acciones!$H217)=TRUE," ",WEEKNUM(Acciones!$H217,21))</f>
        <v xml:space="preserve"> </v>
      </c>
      <c r="H217" s="53"/>
      <c r="I217" s="66"/>
      <c r="J217" s="53"/>
      <c r="K217" s="48" t="str">
        <f ca="1">IF(AND(ISBLANK(Acciones!$D217)=FALSE,ISBLANK(Acciones!$H217)=TRUE),"Faltan fechas",IF(Acciones!$H217="","",IF(AND(Acciones!$H217&gt;=TODAY(),ISBLANK(Acciones!$J217)=TRUE),"En tiempo",IF(AND(Acciones!$H217&lt;TODAY(),Acciones!$J217=""),"Retrasado",IF(Acciones!$J217&gt;Acciones!$H217,"Cerrado con retraso","Cerrado")))))</f>
        <v/>
      </c>
      <c r="L217" s="61"/>
      <c r="M217" s="74"/>
      <c r="T217" s="22"/>
      <c r="U217" s="22"/>
    </row>
    <row r="218" spans="2:21" x14ac:dyDescent="0.3">
      <c r="B218" s="53"/>
      <c r="C218" s="65"/>
      <c r="D218" s="61"/>
      <c r="E218" s="56"/>
      <c r="F218" s="53"/>
      <c r="G218" s="53" t="str">
        <f>IF(ISBLANK(Acciones!$H218)=TRUE," ",WEEKNUM(Acciones!$H218,21))</f>
        <v xml:space="preserve"> </v>
      </c>
      <c r="H218" s="53"/>
      <c r="I218" s="66"/>
      <c r="J218" s="53"/>
      <c r="K218" s="48" t="str">
        <f ca="1">IF(AND(ISBLANK(Acciones!$D218)=FALSE,ISBLANK(Acciones!$H218)=TRUE),"Faltan fechas",IF(Acciones!$H218="","",IF(AND(Acciones!$H218&gt;=TODAY(),ISBLANK(Acciones!$J218)=TRUE),"En tiempo",IF(AND(Acciones!$H218&lt;TODAY(),Acciones!$J218=""),"Retrasado",IF(Acciones!$J218&gt;Acciones!$H218,"Cerrado con retraso","Cerrado")))))</f>
        <v/>
      </c>
      <c r="L218" s="61"/>
      <c r="M218" s="74"/>
      <c r="T218" s="22"/>
      <c r="U218" s="22"/>
    </row>
    <row r="219" spans="2:21" x14ac:dyDescent="0.3">
      <c r="B219" s="53"/>
      <c r="C219" s="65"/>
      <c r="D219" s="61"/>
      <c r="E219" s="56"/>
      <c r="F219" s="53"/>
      <c r="G219" s="53" t="str">
        <f>IF(ISBLANK(Acciones!$H219)=TRUE," ",WEEKNUM(Acciones!$H219,21))</f>
        <v xml:space="preserve"> </v>
      </c>
      <c r="H219" s="53"/>
      <c r="I219" s="66"/>
      <c r="J219" s="53"/>
      <c r="K219" s="48" t="str">
        <f ca="1">IF(AND(ISBLANK(Acciones!$D219)=FALSE,ISBLANK(Acciones!$H219)=TRUE),"Faltan fechas",IF(Acciones!$H219="","",IF(AND(Acciones!$H219&gt;=TODAY(),ISBLANK(Acciones!$J219)=TRUE),"En tiempo",IF(AND(Acciones!$H219&lt;TODAY(),Acciones!$J219=""),"Retrasado",IF(Acciones!$J219&gt;Acciones!$H219,"Cerrado con retraso","Cerrado")))))</f>
        <v/>
      </c>
      <c r="L219" s="61"/>
      <c r="M219" s="74"/>
      <c r="T219" s="22"/>
      <c r="U219" s="22"/>
    </row>
    <row r="220" spans="2:21" x14ac:dyDescent="0.3">
      <c r="B220" s="53"/>
      <c r="C220" s="65"/>
      <c r="D220" s="61"/>
      <c r="E220" s="56"/>
      <c r="F220" s="53"/>
      <c r="G220" s="53" t="str">
        <f>IF(ISBLANK(Acciones!$H220)=TRUE," ",WEEKNUM(Acciones!$H220,21))</f>
        <v xml:space="preserve"> </v>
      </c>
      <c r="H220" s="53"/>
      <c r="I220" s="66"/>
      <c r="J220" s="53"/>
      <c r="K220" s="48" t="str">
        <f ca="1">IF(AND(ISBLANK(Acciones!$D220)=FALSE,ISBLANK(Acciones!$H220)=TRUE),"Faltan fechas",IF(Acciones!$H220="","",IF(AND(Acciones!$H220&gt;=TODAY(),ISBLANK(Acciones!$J220)=TRUE),"En tiempo",IF(AND(Acciones!$H220&lt;TODAY(),Acciones!$J220=""),"Retrasado",IF(Acciones!$J220&gt;Acciones!$H220,"Cerrado con retraso","Cerrado")))))</f>
        <v/>
      </c>
      <c r="L220" s="61"/>
      <c r="M220" s="74"/>
      <c r="T220" s="22"/>
      <c r="U220" s="22"/>
    </row>
    <row r="221" spans="2:21" x14ac:dyDescent="0.3">
      <c r="B221" s="53"/>
      <c r="C221" s="65"/>
      <c r="D221" s="61"/>
      <c r="E221" s="56"/>
      <c r="F221" s="53"/>
      <c r="G221" s="53" t="str">
        <f>IF(ISBLANK(Acciones!$H221)=TRUE," ",WEEKNUM(Acciones!$H221,21))</f>
        <v xml:space="preserve"> </v>
      </c>
      <c r="H221" s="53"/>
      <c r="I221" s="66"/>
      <c r="J221" s="53"/>
      <c r="K221" s="48" t="str">
        <f ca="1">IF(AND(ISBLANK(Acciones!$D221)=FALSE,ISBLANK(Acciones!$H221)=TRUE),"Faltan fechas",IF(Acciones!$H221="","",IF(AND(Acciones!$H221&gt;=TODAY(),ISBLANK(Acciones!$J221)=TRUE),"En tiempo",IF(AND(Acciones!$H221&lt;TODAY(),Acciones!$J221=""),"Retrasado",IF(Acciones!$J221&gt;Acciones!$H221,"Cerrado con retraso","Cerrado")))))</f>
        <v/>
      </c>
      <c r="L221" s="61"/>
      <c r="M221" s="74"/>
      <c r="T221" s="22"/>
      <c r="U221" s="22"/>
    </row>
    <row r="222" spans="2:21" x14ac:dyDescent="0.3">
      <c r="B222" s="53"/>
      <c r="C222" s="65"/>
      <c r="D222" s="61"/>
      <c r="E222" s="56"/>
      <c r="F222" s="53"/>
      <c r="G222" s="53" t="str">
        <f>IF(ISBLANK(Acciones!$H222)=TRUE," ",WEEKNUM(Acciones!$H222,21))</f>
        <v xml:space="preserve"> </v>
      </c>
      <c r="H222" s="53"/>
      <c r="I222" s="66"/>
      <c r="J222" s="53"/>
      <c r="K222" s="48" t="str">
        <f ca="1">IF(AND(ISBLANK(Acciones!$D222)=FALSE,ISBLANK(Acciones!$H222)=TRUE),"Faltan fechas",IF(Acciones!$H222="","",IF(AND(Acciones!$H222&gt;=TODAY(),ISBLANK(Acciones!$J222)=TRUE),"En tiempo",IF(AND(Acciones!$H222&lt;TODAY(),Acciones!$J222=""),"Retrasado",IF(Acciones!$J222&gt;Acciones!$H222,"Cerrado con retraso","Cerrado")))))</f>
        <v/>
      </c>
      <c r="L222" s="61"/>
      <c r="M222" s="74"/>
      <c r="T222" s="22"/>
      <c r="U222" s="22"/>
    </row>
    <row r="223" spans="2:21" x14ac:dyDescent="0.3">
      <c r="B223" s="53"/>
      <c r="C223" s="65"/>
      <c r="D223" s="61"/>
      <c r="E223" s="56"/>
      <c r="F223" s="53"/>
      <c r="G223" s="53" t="str">
        <f>IF(ISBLANK(Acciones!$H223)=TRUE," ",WEEKNUM(Acciones!$H223,21))</f>
        <v xml:space="preserve"> </v>
      </c>
      <c r="H223" s="53"/>
      <c r="I223" s="66"/>
      <c r="J223" s="53"/>
      <c r="K223" s="48" t="str">
        <f ca="1">IF(AND(ISBLANK(Acciones!$D223)=FALSE,ISBLANK(Acciones!$H223)=TRUE),"Faltan fechas",IF(Acciones!$H223="","",IF(AND(Acciones!$H223&gt;=TODAY(),ISBLANK(Acciones!$J223)=TRUE),"En tiempo",IF(AND(Acciones!$H223&lt;TODAY(),Acciones!$J223=""),"Retrasado",IF(Acciones!$J223&gt;Acciones!$H223,"Cerrado con retraso","Cerrado")))))</f>
        <v/>
      </c>
      <c r="L223" s="61"/>
      <c r="M223" s="74"/>
      <c r="T223" s="22"/>
      <c r="U223" s="22"/>
    </row>
    <row r="224" spans="2:21" x14ac:dyDescent="0.3">
      <c r="B224" s="53"/>
      <c r="C224" s="65"/>
      <c r="D224" s="61"/>
      <c r="E224" s="56"/>
      <c r="F224" s="53"/>
      <c r="G224" s="53" t="str">
        <f>IF(ISBLANK(Acciones!$H224)=TRUE," ",WEEKNUM(Acciones!$H224,21))</f>
        <v xml:space="preserve"> </v>
      </c>
      <c r="H224" s="53"/>
      <c r="I224" s="66"/>
      <c r="J224" s="53"/>
      <c r="K224" s="48" t="str">
        <f ca="1">IF(AND(ISBLANK(Acciones!$D224)=FALSE,ISBLANK(Acciones!$H224)=TRUE),"Faltan fechas",IF(Acciones!$H224="","",IF(AND(Acciones!$H224&gt;=TODAY(),ISBLANK(Acciones!$J224)=TRUE),"En tiempo",IF(AND(Acciones!$H224&lt;TODAY(),Acciones!$J224=""),"Retrasado",IF(Acciones!$J224&gt;Acciones!$H224,"Cerrado con retraso","Cerrado")))))</f>
        <v/>
      </c>
      <c r="L224" s="61"/>
      <c r="M224" s="74"/>
      <c r="T224" s="22"/>
      <c r="U224" s="22"/>
    </row>
    <row r="225" spans="2:21" x14ac:dyDescent="0.3">
      <c r="B225" s="53"/>
      <c r="C225" s="65"/>
      <c r="D225" s="61"/>
      <c r="E225" s="56"/>
      <c r="F225" s="53"/>
      <c r="G225" s="53" t="str">
        <f>IF(ISBLANK(Acciones!$H225)=TRUE," ",WEEKNUM(Acciones!$H225,21))</f>
        <v xml:space="preserve"> </v>
      </c>
      <c r="H225" s="53"/>
      <c r="I225" s="66"/>
      <c r="J225" s="53"/>
      <c r="K225" s="48" t="str">
        <f ca="1">IF(AND(ISBLANK(Acciones!$D225)=FALSE,ISBLANK(Acciones!$H225)=TRUE),"Faltan fechas",IF(Acciones!$H225="","",IF(AND(Acciones!$H225&gt;=TODAY(),ISBLANK(Acciones!$J225)=TRUE),"En tiempo",IF(AND(Acciones!$H225&lt;TODAY(),Acciones!$J225=""),"Retrasado",IF(Acciones!$J225&gt;Acciones!$H225,"Cerrado con retraso","Cerrado")))))</f>
        <v/>
      </c>
      <c r="L225" s="61"/>
      <c r="M225" s="74"/>
      <c r="T225" s="22"/>
      <c r="U225" s="22"/>
    </row>
    <row r="226" spans="2:21" x14ac:dyDescent="0.3">
      <c r="B226" s="53"/>
      <c r="C226" s="65"/>
      <c r="D226" s="61"/>
      <c r="E226" s="56"/>
      <c r="F226" s="53"/>
      <c r="G226" s="53" t="str">
        <f>IF(ISBLANK(Acciones!$H226)=TRUE," ",WEEKNUM(Acciones!$H226,21))</f>
        <v xml:space="preserve"> </v>
      </c>
      <c r="H226" s="53"/>
      <c r="I226" s="66"/>
      <c r="J226" s="53"/>
      <c r="K226" s="48" t="str">
        <f ca="1">IF(AND(ISBLANK(Acciones!$D226)=FALSE,ISBLANK(Acciones!$H226)=TRUE),"Faltan fechas",IF(Acciones!$H226="","",IF(AND(Acciones!$H226&gt;=TODAY(),ISBLANK(Acciones!$J226)=TRUE),"En tiempo",IF(AND(Acciones!$H226&lt;TODAY(),Acciones!$J226=""),"Retrasado",IF(Acciones!$J226&gt;Acciones!$H226,"Cerrado con retraso","Cerrado")))))</f>
        <v/>
      </c>
      <c r="L226" s="61"/>
      <c r="M226" s="74"/>
      <c r="T226" s="22"/>
      <c r="U226" s="22"/>
    </row>
    <row r="227" spans="2:21" x14ac:dyDescent="0.3">
      <c r="B227" s="53"/>
      <c r="C227" s="65"/>
      <c r="D227" s="61"/>
      <c r="E227" s="56"/>
      <c r="F227" s="53"/>
      <c r="G227" s="53" t="str">
        <f>IF(ISBLANK(Acciones!$H227)=TRUE," ",WEEKNUM(Acciones!$H227,21))</f>
        <v xml:space="preserve"> </v>
      </c>
      <c r="H227" s="53"/>
      <c r="I227" s="66"/>
      <c r="J227" s="53"/>
      <c r="K227" s="48" t="str">
        <f ca="1">IF(AND(ISBLANK(Acciones!$D227)=FALSE,ISBLANK(Acciones!$H227)=TRUE),"Faltan fechas",IF(Acciones!$H227="","",IF(AND(Acciones!$H227&gt;=TODAY(),ISBLANK(Acciones!$J227)=TRUE),"En tiempo",IF(AND(Acciones!$H227&lt;TODAY(),Acciones!$J227=""),"Retrasado",IF(Acciones!$J227&gt;Acciones!$H227,"Cerrado con retraso","Cerrado")))))</f>
        <v/>
      </c>
      <c r="L227" s="61"/>
      <c r="M227" s="74"/>
      <c r="T227" s="22"/>
      <c r="U227" s="22"/>
    </row>
    <row r="228" spans="2:21" x14ac:dyDescent="0.3">
      <c r="B228" s="53"/>
      <c r="C228" s="65"/>
      <c r="D228" s="61"/>
      <c r="E228" s="56"/>
      <c r="F228" s="53"/>
      <c r="G228" s="53" t="str">
        <f>IF(ISBLANK(Acciones!$H228)=TRUE," ",WEEKNUM(Acciones!$H228,21))</f>
        <v xml:space="preserve"> </v>
      </c>
      <c r="H228" s="53"/>
      <c r="I228" s="66"/>
      <c r="J228" s="53"/>
      <c r="K228" s="48" t="str">
        <f ca="1">IF(AND(ISBLANK(Acciones!$D228)=FALSE,ISBLANK(Acciones!$H228)=TRUE),"Faltan fechas",IF(Acciones!$H228="","",IF(AND(Acciones!$H228&gt;=TODAY(),ISBLANK(Acciones!$J228)=TRUE),"En tiempo",IF(AND(Acciones!$H228&lt;TODAY(),Acciones!$J228=""),"Retrasado",IF(Acciones!$J228&gt;Acciones!$H228,"Cerrado con retraso","Cerrado")))))</f>
        <v/>
      </c>
      <c r="L228" s="61"/>
      <c r="M228" s="74"/>
      <c r="T228" s="22"/>
      <c r="U228" s="22"/>
    </row>
    <row r="229" spans="2:21" x14ac:dyDescent="0.3">
      <c r="B229" s="53"/>
      <c r="C229" s="65"/>
      <c r="D229" s="61"/>
      <c r="E229" s="56"/>
      <c r="F229" s="53"/>
      <c r="G229" s="53" t="str">
        <f>IF(ISBLANK(Acciones!$H229)=TRUE," ",WEEKNUM(Acciones!$H229,21))</f>
        <v xml:space="preserve"> </v>
      </c>
      <c r="H229" s="53"/>
      <c r="I229" s="66"/>
      <c r="J229" s="53"/>
      <c r="K229" s="48" t="str">
        <f ca="1">IF(AND(ISBLANK(Acciones!$D229)=FALSE,ISBLANK(Acciones!$H229)=TRUE),"Faltan fechas",IF(Acciones!$H229="","",IF(AND(Acciones!$H229&gt;=TODAY(),ISBLANK(Acciones!$J229)=TRUE),"En tiempo",IF(AND(Acciones!$H229&lt;TODAY(),Acciones!$J229=""),"Retrasado",IF(Acciones!$J229&gt;Acciones!$H229,"Cerrado con retraso","Cerrado")))))</f>
        <v/>
      </c>
      <c r="L229" s="61"/>
      <c r="M229" s="74"/>
      <c r="T229" s="22"/>
      <c r="U229" s="22"/>
    </row>
    <row r="230" spans="2:21" x14ac:dyDescent="0.3">
      <c r="B230" s="53"/>
      <c r="C230" s="65"/>
      <c r="D230" s="61"/>
      <c r="E230" s="56"/>
      <c r="F230" s="53"/>
      <c r="G230" s="53" t="str">
        <f>IF(ISBLANK(Acciones!$H230)=TRUE," ",WEEKNUM(Acciones!$H230,21))</f>
        <v xml:space="preserve"> </v>
      </c>
      <c r="H230" s="53"/>
      <c r="I230" s="66"/>
      <c r="J230" s="53"/>
      <c r="K230" s="48" t="str">
        <f ca="1">IF(AND(ISBLANK(Acciones!$D230)=FALSE,ISBLANK(Acciones!$H230)=TRUE),"Faltan fechas",IF(Acciones!$H230="","",IF(AND(Acciones!$H230&gt;=TODAY(),ISBLANK(Acciones!$J230)=TRUE),"En tiempo",IF(AND(Acciones!$H230&lt;TODAY(),Acciones!$J230=""),"Retrasado",IF(Acciones!$J230&gt;Acciones!$H230,"Cerrado con retraso","Cerrado")))))</f>
        <v/>
      </c>
      <c r="L230" s="61"/>
      <c r="M230" s="74"/>
      <c r="T230" s="22"/>
      <c r="U230" s="22"/>
    </row>
    <row r="231" spans="2:21" x14ac:dyDescent="0.3">
      <c r="B231" s="53"/>
      <c r="C231" s="65"/>
      <c r="D231" s="61"/>
      <c r="E231" s="56"/>
      <c r="F231" s="53"/>
      <c r="G231" s="53" t="str">
        <f>IF(ISBLANK(Acciones!$H231)=TRUE," ",WEEKNUM(Acciones!$H231,21))</f>
        <v xml:space="preserve"> </v>
      </c>
      <c r="H231" s="53"/>
      <c r="I231" s="66"/>
      <c r="J231" s="53"/>
      <c r="K231" s="48" t="str">
        <f ca="1">IF(AND(ISBLANK(Acciones!$D231)=FALSE,ISBLANK(Acciones!$H231)=TRUE),"Faltan fechas",IF(Acciones!$H231="","",IF(AND(Acciones!$H231&gt;=TODAY(),ISBLANK(Acciones!$J231)=TRUE),"En tiempo",IF(AND(Acciones!$H231&lt;TODAY(),Acciones!$J231=""),"Retrasado",IF(Acciones!$J231&gt;Acciones!$H231,"Cerrado con retraso","Cerrado")))))</f>
        <v/>
      </c>
      <c r="L231" s="61"/>
      <c r="M231" s="74"/>
      <c r="T231" s="22"/>
      <c r="U231" s="22"/>
    </row>
    <row r="232" spans="2:21" x14ac:dyDescent="0.3">
      <c r="B232" s="53"/>
      <c r="C232" s="65"/>
      <c r="D232" s="61"/>
      <c r="E232" s="56"/>
      <c r="F232" s="53"/>
      <c r="G232" s="53" t="str">
        <f>IF(ISBLANK(Acciones!$H232)=TRUE," ",WEEKNUM(Acciones!$H232,21))</f>
        <v xml:space="preserve"> </v>
      </c>
      <c r="H232" s="53"/>
      <c r="I232" s="66"/>
      <c r="J232" s="53"/>
      <c r="K232" s="48" t="str">
        <f ca="1">IF(AND(ISBLANK(Acciones!$D232)=FALSE,ISBLANK(Acciones!$H232)=TRUE),"Faltan fechas",IF(Acciones!$H232="","",IF(AND(Acciones!$H232&gt;=TODAY(),ISBLANK(Acciones!$J232)=TRUE),"En tiempo",IF(AND(Acciones!$H232&lt;TODAY(),Acciones!$J232=""),"Retrasado",IF(Acciones!$J232&gt;Acciones!$H232,"Cerrado con retraso","Cerrado")))))</f>
        <v/>
      </c>
      <c r="L232" s="61"/>
      <c r="M232" s="74"/>
      <c r="T232" s="22"/>
      <c r="U232" s="22"/>
    </row>
    <row r="233" spans="2:21" x14ac:dyDescent="0.3">
      <c r="B233" s="53"/>
      <c r="C233" s="65"/>
      <c r="D233" s="61"/>
      <c r="E233" s="56"/>
      <c r="F233" s="53"/>
      <c r="G233" s="53" t="str">
        <f>IF(ISBLANK(Acciones!$H233)=TRUE," ",WEEKNUM(Acciones!$H233,21))</f>
        <v xml:space="preserve"> </v>
      </c>
      <c r="H233" s="53"/>
      <c r="I233" s="66"/>
      <c r="J233" s="53"/>
      <c r="K233" s="48" t="str">
        <f ca="1">IF(AND(ISBLANK(Acciones!$D233)=FALSE,ISBLANK(Acciones!$H233)=TRUE),"Faltan fechas",IF(Acciones!$H233="","",IF(AND(Acciones!$H233&gt;=TODAY(),ISBLANK(Acciones!$J233)=TRUE),"En tiempo",IF(AND(Acciones!$H233&lt;TODAY(),Acciones!$J233=""),"Retrasado",IF(Acciones!$J233&gt;Acciones!$H233,"Cerrado con retraso","Cerrado")))))</f>
        <v/>
      </c>
      <c r="L233" s="61"/>
      <c r="M233" s="74"/>
      <c r="T233" s="22"/>
      <c r="U233" s="22"/>
    </row>
    <row r="234" spans="2:21" x14ac:dyDescent="0.3">
      <c r="B234" s="53"/>
      <c r="C234" s="65"/>
      <c r="D234" s="61"/>
      <c r="E234" s="56"/>
      <c r="F234" s="53"/>
      <c r="G234" s="53" t="str">
        <f>IF(ISBLANK(Acciones!$H234)=TRUE," ",WEEKNUM(Acciones!$H234,21))</f>
        <v xml:space="preserve"> </v>
      </c>
      <c r="H234" s="53"/>
      <c r="I234" s="66"/>
      <c r="J234" s="53"/>
      <c r="K234" s="48" t="str">
        <f ca="1">IF(AND(ISBLANK(Acciones!$D234)=FALSE,ISBLANK(Acciones!$H234)=TRUE),"Faltan fechas",IF(Acciones!$H234="","",IF(AND(Acciones!$H234&gt;=TODAY(),ISBLANK(Acciones!$J234)=TRUE),"En tiempo",IF(AND(Acciones!$H234&lt;TODAY(),Acciones!$J234=""),"Retrasado",IF(Acciones!$J234&gt;Acciones!$H234,"Cerrado con retraso","Cerrado")))))</f>
        <v/>
      </c>
      <c r="L234" s="61"/>
      <c r="M234" s="74"/>
      <c r="T234" s="22"/>
      <c r="U234" s="22"/>
    </row>
    <row r="235" spans="2:21" x14ac:dyDescent="0.3">
      <c r="B235" s="53"/>
      <c r="C235" s="65"/>
      <c r="D235" s="61"/>
      <c r="E235" s="56"/>
      <c r="F235" s="53"/>
      <c r="G235" s="53" t="str">
        <f>IF(ISBLANK(Acciones!$H235)=TRUE," ",WEEKNUM(Acciones!$H235,21))</f>
        <v xml:space="preserve"> </v>
      </c>
      <c r="H235" s="53"/>
      <c r="I235" s="66"/>
      <c r="J235" s="53"/>
      <c r="K235" s="48" t="str">
        <f ca="1">IF(AND(ISBLANK(Acciones!$D235)=FALSE,ISBLANK(Acciones!$H235)=TRUE),"Faltan fechas",IF(Acciones!$H235="","",IF(AND(Acciones!$H235&gt;=TODAY(),ISBLANK(Acciones!$J235)=TRUE),"En tiempo",IF(AND(Acciones!$H235&lt;TODAY(),Acciones!$J235=""),"Retrasado",IF(Acciones!$J235&gt;Acciones!$H235,"Cerrado con retraso","Cerrado")))))</f>
        <v/>
      </c>
      <c r="L235" s="61"/>
      <c r="M235" s="74"/>
      <c r="T235" s="22"/>
      <c r="U235" s="22"/>
    </row>
    <row r="236" spans="2:21" x14ac:dyDescent="0.3">
      <c r="B236" s="53"/>
      <c r="C236" s="65"/>
      <c r="D236" s="61"/>
      <c r="E236" s="56"/>
      <c r="F236" s="53"/>
      <c r="G236" s="53" t="str">
        <f>IF(ISBLANK(Acciones!$H236)=TRUE," ",WEEKNUM(Acciones!$H236,21))</f>
        <v xml:space="preserve"> </v>
      </c>
      <c r="H236" s="53"/>
      <c r="I236" s="66"/>
      <c r="J236" s="53"/>
      <c r="K236" s="48" t="str">
        <f ca="1">IF(AND(ISBLANK(Acciones!$D236)=FALSE,ISBLANK(Acciones!$H236)=TRUE),"Faltan fechas",IF(Acciones!$H236="","",IF(AND(Acciones!$H236&gt;=TODAY(),ISBLANK(Acciones!$J236)=TRUE),"En tiempo",IF(AND(Acciones!$H236&lt;TODAY(),Acciones!$J236=""),"Retrasado",IF(Acciones!$J236&gt;Acciones!$H236,"Cerrado con retraso","Cerrado")))))</f>
        <v/>
      </c>
      <c r="L236" s="61"/>
      <c r="M236" s="74"/>
      <c r="T236" s="22"/>
      <c r="U236" s="22"/>
    </row>
    <row r="237" spans="2:21" x14ac:dyDescent="0.3">
      <c r="B237" s="53"/>
      <c r="C237" s="65"/>
      <c r="D237" s="61"/>
      <c r="E237" s="56"/>
      <c r="F237" s="53"/>
      <c r="G237" s="53" t="str">
        <f>IF(ISBLANK(Acciones!$H237)=TRUE," ",WEEKNUM(Acciones!$H237,21))</f>
        <v xml:space="preserve"> </v>
      </c>
      <c r="H237" s="53"/>
      <c r="I237" s="66"/>
      <c r="J237" s="53"/>
      <c r="K237" s="48" t="str">
        <f ca="1">IF(AND(ISBLANK(Acciones!$D237)=FALSE,ISBLANK(Acciones!$H237)=TRUE),"Faltan fechas",IF(Acciones!$H237="","",IF(AND(Acciones!$H237&gt;=TODAY(),ISBLANK(Acciones!$J237)=TRUE),"En tiempo",IF(AND(Acciones!$H237&lt;TODAY(),Acciones!$J237=""),"Retrasado",IF(Acciones!$J237&gt;Acciones!$H237,"Cerrado con retraso","Cerrado")))))</f>
        <v/>
      </c>
      <c r="L237" s="61"/>
      <c r="M237" s="74"/>
      <c r="T237" s="22"/>
      <c r="U237" s="22"/>
    </row>
    <row r="238" spans="2:21" x14ac:dyDescent="0.3">
      <c r="B238" s="53"/>
      <c r="C238" s="65"/>
      <c r="D238" s="61"/>
      <c r="E238" s="56"/>
      <c r="F238" s="53"/>
      <c r="G238" s="53" t="str">
        <f>IF(ISBLANK(Acciones!$H238)=TRUE," ",WEEKNUM(Acciones!$H238,21))</f>
        <v xml:space="preserve"> </v>
      </c>
      <c r="H238" s="53"/>
      <c r="I238" s="66"/>
      <c r="J238" s="53"/>
      <c r="K238" s="48" t="str">
        <f ca="1">IF(AND(ISBLANK(Acciones!$D238)=FALSE,ISBLANK(Acciones!$H238)=TRUE),"Faltan fechas",IF(Acciones!$H238="","",IF(AND(Acciones!$H238&gt;=TODAY(),ISBLANK(Acciones!$J238)=TRUE),"En tiempo",IF(AND(Acciones!$H238&lt;TODAY(),Acciones!$J238=""),"Retrasado",IF(Acciones!$J238&gt;Acciones!$H238,"Cerrado con retraso","Cerrado")))))</f>
        <v/>
      </c>
      <c r="L238" s="61"/>
      <c r="M238" s="74"/>
      <c r="T238" s="22"/>
      <c r="U238" s="22"/>
    </row>
    <row r="239" spans="2:21" x14ac:dyDescent="0.3">
      <c r="B239" s="53"/>
      <c r="C239" s="65"/>
      <c r="D239" s="61"/>
      <c r="E239" s="56"/>
      <c r="F239" s="53"/>
      <c r="G239" s="53" t="str">
        <f>IF(ISBLANK(Acciones!$H239)=TRUE," ",WEEKNUM(Acciones!$H239,21))</f>
        <v xml:space="preserve"> </v>
      </c>
      <c r="H239" s="53"/>
      <c r="I239" s="66"/>
      <c r="J239" s="53"/>
      <c r="K239" s="48" t="str">
        <f ca="1">IF(AND(ISBLANK(Acciones!$D239)=FALSE,ISBLANK(Acciones!$H239)=TRUE),"Faltan fechas",IF(Acciones!$H239="","",IF(AND(Acciones!$H239&gt;=TODAY(),ISBLANK(Acciones!$J239)=TRUE),"En tiempo",IF(AND(Acciones!$H239&lt;TODAY(),Acciones!$J239=""),"Retrasado",IF(Acciones!$J239&gt;Acciones!$H239,"Cerrado con retraso","Cerrado")))))</f>
        <v/>
      </c>
      <c r="L239" s="61"/>
      <c r="M239" s="74"/>
      <c r="T239" s="22"/>
      <c r="U239" s="22"/>
    </row>
    <row r="240" spans="2:21" x14ac:dyDescent="0.3">
      <c r="B240" s="53"/>
      <c r="C240" s="65"/>
      <c r="D240" s="61"/>
      <c r="E240" s="56"/>
      <c r="F240" s="53"/>
      <c r="G240" s="53" t="str">
        <f>IF(ISBLANK(Acciones!$H240)=TRUE," ",WEEKNUM(Acciones!$H240,21))</f>
        <v xml:space="preserve"> </v>
      </c>
      <c r="H240" s="53"/>
      <c r="I240" s="66"/>
      <c r="J240" s="53"/>
      <c r="K240" s="48" t="str">
        <f ca="1">IF(AND(ISBLANK(Acciones!$D240)=FALSE,ISBLANK(Acciones!$H240)=TRUE),"Faltan fechas",IF(Acciones!$H240="","",IF(AND(Acciones!$H240&gt;=TODAY(),ISBLANK(Acciones!$J240)=TRUE),"En tiempo",IF(AND(Acciones!$H240&lt;TODAY(),Acciones!$J240=""),"Retrasado",IF(Acciones!$J240&gt;Acciones!$H240,"Cerrado con retraso","Cerrado")))))</f>
        <v/>
      </c>
      <c r="L240" s="61"/>
      <c r="M240" s="74"/>
      <c r="T240" s="22"/>
      <c r="U240" s="22"/>
    </row>
    <row r="241" spans="2:21" x14ac:dyDescent="0.3">
      <c r="B241" s="53"/>
      <c r="C241" s="65"/>
      <c r="D241" s="61"/>
      <c r="E241" s="56"/>
      <c r="F241" s="53"/>
      <c r="G241" s="53" t="str">
        <f>IF(ISBLANK(Acciones!$H241)=TRUE," ",WEEKNUM(Acciones!$H241,21))</f>
        <v xml:space="preserve"> </v>
      </c>
      <c r="H241" s="53"/>
      <c r="I241" s="66"/>
      <c r="J241" s="53"/>
      <c r="K241" s="48" t="str">
        <f ca="1">IF(AND(ISBLANK(Acciones!$D241)=FALSE,ISBLANK(Acciones!$H241)=TRUE),"Faltan fechas",IF(Acciones!$H241="","",IF(AND(Acciones!$H241&gt;=TODAY(),ISBLANK(Acciones!$J241)=TRUE),"En tiempo",IF(AND(Acciones!$H241&lt;TODAY(),Acciones!$J241=""),"Retrasado",IF(Acciones!$J241&gt;Acciones!$H241,"Cerrado con retraso","Cerrado")))))</f>
        <v/>
      </c>
      <c r="L241" s="61"/>
      <c r="M241" s="74"/>
      <c r="T241" s="26"/>
      <c r="U241" s="26"/>
    </row>
    <row r="242" spans="2:21" x14ac:dyDescent="0.3">
      <c r="B242" s="53"/>
      <c r="C242" s="65"/>
      <c r="D242" s="61"/>
      <c r="E242" s="56"/>
      <c r="F242" s="53"/>
      <c r="G242" s="53" t="str">
        <f>IF(ISBLANK(Acciones!$H242)=TRUE," ",WEEKNUM(Acciones!$H242,21))</f>
        <v xml:space="preserve"> </v>
      </c>
      <c r="H242" s="53"/>
      <c r="I242" s="66"/>
      <c r="J242" s="53"/>
      <c r="K242" s="48" t="str">
        <f ca="1">IF(AND(ISBLANK(Acciones!$D242)=FALSE,ISBLANK(Acciones!$H242)=TRUE),"Faltan fechas",IF(Acciones!$H242="","",IF(AND(Acciones!$H242&gt;=TODAY(),ISBLANK(Acciones!$J242)=TRUE),"En tiempo",IF(AND(Acciones!$H242&lt;TODAY(),Acciones!$J242=""),"Retrasado",IF(Acciones!$J242&gt;Acciones!$H242,"Cerrado con retraso","Cerrado")))))</f>
        <v/>
      </c>
      <c r="L242" s="61"/>
      <c r="M242" s="74"/>
      <c r="T242" s="26"/>
      <c r="U242" s="26"/>
    </row>
    <row r="243" spans="2:21" x14ac:dyDescent="0.3">
      <c r="B243" s="53"/>
      <c r="C243" s="65"/>
      <c r="D243" s="61"/>
      <c r="E243" s="56"/>
      <c r="F243" s="53"/>
      <c r="G243" s="53" t="str">
        <f>IF(ISBLANK(Acciones!$H243)=TRUE," ",WEEKNUM(Acciones!$H243,21))</f>
        <v xml:space="preserve"> </v>
      </c>
      <c r="H243" s="53"/>
      <c r="I243" s="66"/>
      <c r="J243" s="53"/>
      <c r="K243" s="48" t="str">
        <f ca="1">IF(AND(ISBLANK(Acciones!$D243)=FALSE,ISBLANK(Acciones!$H243)=TRUE),"Faltan fechas",IF(Acciones!$H243="","",IF(AND(Acciones!$H243&gt;=TODAY(),ISBLANK(Acciones!$J243)=TRUE),"En tiempo",IF(AND(Acciones!$H243&lt;TODAY(),Acciones!$J243=""),"Retrasado",IF(Acciones!$J243&gt;Acciones!$H243,"Cerrado con retraso","Cerrado")))))</f>
        <v/>
      </c>
      <c r="L243" s="61"/>
      <c r="M243" s="74"/>
      <c r="T243" s="26"/>
      <c r="U243" s="26"/>
    </row>
    <row r="244" spans="2:21" x14ac:dyDescent="0.3">
      <c r="B244" s="53"/>
      <c r="C244" s="65"/>
      <c r="D244" s="61"/>
      <c r="E244" s="56"/>
      <c r="F244" s="53"/>
      <c r="G244" s="53" t="str">
        <f>IF(ISBLANK(Acciones!$H244)=TRUE," ",WEEKNUM(Acciones!$H244,21))</f>
        <v xml:space="preserve"> </v>
      </c>
      <c r="H244" s="53"/>
      <c r="I244" s="66"/>
      <c r="J244" s="53"/>
      <c r="K244" s="48" t="str">
        <f ca="1">IF(AND(ISBLANK(Acciones!$D244)=FALSE,ISBLANK(Acciones!$H244)=TRUE),"Faltan fechas",IF(Acciones!$H244="","",IF(AND(Acciones!$H244&gt;=TODAY(),ISBLANK(Acciones!$J244)=TRUE),"En tiempo",IF(AND(Acciones!$H244&lt;TODAY(),Acciones!$J244=""),"Retrasado",IF(Acciones!$J244&gt;Acciones!$H244,"Cerrado con retraso","Cerrado")))))</f>
        <v/>
      </c>
      <c r="L244" s="61"/>
      <c r="M244" s="74"/>
      <c r="T244" s="26"/>
      <c r="U244" s="26"/>
    </row>
    <row r="245" spans="2:21" x14ac:dyDescent="0.3">
      <c r="B245" s="53"/>
      <c r="C245" s="65"/>
      <c r="D245" s="61"/>
      <c r="E245" s="56"/>
      <c r="F245" s="53"/>
      <c r="G245" s="53" t="str">
        <f>IF(ISBLANK(Acciones!$H245)=TRUE," ",WEEKNUM(Acciones!$H245,21))</f>
        <v xml:space="preserve"> </v>
      </c>
      <c r="H245" s="53"/>
      <c r="I245" s="66"/>
      <c r="J245" s="53"/>
      <c r="K245" s="48" t="str">
        <f ca="1">IF(AND(ISBLANK(Acciones!$D245)=FALSE,ISBLANK(Acciones!$H245)=TRUE),"Faltan fechas",IF(Acciones!$H245="","",IF(AND(Acciones!$H245&gt;=TODAY(),ISBLANK(Acciones!$J245)=TRUE),"En tiempo",IF(AND(Acciones!$H245&lt;TODAY(),Acciones!$J245=""),"Retrasado",IF(Acciones!$J245&gt;Acciones!$H245,"Cerrado con retraso","Cerrado")))))</f>
        <v/>
      </c>
      <c r="L245" s="61"/>
      <c r="M245" s="74"/>
      <c r="T245" s="26"/>
      <c r="U245" s="26"/>
    </row>
    <row r="246" spans="2:21" x14ac:dyDescent="0.3">
      <c r="B246" s="53"/>
      <c r="C246" s="65"/>
      <c r="D246" s="61"/>
      <c r="E246" s="56"/>
      <c r="F246" s="53"/>
      <c r="G246" s="53" t="str">
        <f>IF(ISBLANK(Acciones!$H246)=TRUE," ",WEEKNUM(Acciones!$H246,21))</f>
        <v xml:space="preserve"> </v>
      </c>
      <c r="H246" s="53"/>
      <c r="I246" s="66"/>
      <c r="J246" s="53"/>
      <c r="K246" s="48" t="str">
        <f ca="1">IF(AND(ISBLANK(Acciones!$D246)=FALSE,ISBLANK(Acciones!$H246)=TRUE),"Faltan fechas",IF(Acciones!$H246="","",IF(AND(Acciones!$H246&gt;=TODAY(),ISBLANK(Acciones!$J246)=TRUE),"En tiempo",IF(AND(Acciones!$H246&lt;TODAY(),Acciones!$J246=""),"Retrasado",IF(Acciones!$J246&gt;Acciones!$H246,"Cerrado con retraso","Cerrado")))))</f>
        <v/>
      </c>
      <c r="L246" s="61"/>
      <c r="M246" s="74"/>
      <c r="T246" s="26"/>
      <c r="U246" s="26"/>
    </row>
    <row r="247" spans="2:21" x14ac:dyDescent="0.3">
      <c r="B247" s="53"/>
      <c r="C247" s="65"/>
      <c r="D247" s="61"/>
      <c r="E247" s="56"/>
      <c r="F247" s="53"/>
      <c r="G247" s="53" t="str">
        <f>IF(ISBLANK(Acciones!$H247)=TRUE," ",WEEKNUM(Acciones!$H247,21))</f>
        <v xml:space="preserve"> </v>
      </c>
      <c r="H247" s="53"/>
      <c r="I247" s="66"/>
      <c r="J247" s="53"/>
      <c r="K247" s="48" t="str">
        <f ca="1">IF(AND(ISBLANK(Acciones!$D247)=FALSE,ISBLANK(Acciones!$H247)=TRUE),"Faltan fechas",IF(Acciones!$H247="","",IF(AND(Acciones!$H247&gt;=TODAY(),ISBLANK(Acciones!$J247)=TRUE),"En tiempo",IF(AND(Acciones!$H247&lt;TODAY(),Acciones!$J247=""),"Retrasado",IF(Acciones!$J247&gt;Acciones!$H247,"Cerrado con retraso","Cerrado")))))</f>
        <v/>
      </c>
      <c r="L247" s="61"/>
      <c r="M247" s="74"/>
      <c r="T247" s="26"/>
      <c r="U247" s="26"/>
    </row>
    <row r="248" spans="2:21" x14ac:dyDescent="0.3">
      <c r="B248" s="53"/>
      <c r="C248" s="65"/>
      <c r="D248" s="61"/>
      <c r="E248" s="56"/>
      <c r="F248" s="53"/>
      <c r="G248" s="53" t="str">
        <f>IF(ISBLANK(Acciones!$H248)=TRUE," ",WEEKNUM(Acciones!$H248,21))</f>
        <v xml:space="preserve"> </v>
      </c>
      <c r="H248" s="53"/>
      <c r="I248" s="66"/>
      <c r="J248" s="53"/>
      <c r="K248" s="48" t="str">
        <f ca="1">IF(AND(ISBLANK(Acciones!$D248)=FALSE,ISBLANK(Acciones!$H248)=TRUE),"Faltan fechas",IF(Acciones!$H248="","",IF(AND(Acciones!$H248&gt;=TODAY(),ISBLANK(Acciones!$J248)=TRUE),"En tiempo",IF(AND(Acciones!$H248&lt;TODAY(),Acciones!$J248=""),"Retrasado",IF(Acciones!$J248&gt;Acciones!$H248,"Cerrado con retraso","Cerrado")))))</f>
        <v/>
      </c>
      <c r="L248" s="61"/>
      <c r="M248" s="74"/>
      <c r="T248" s="26"/>
      <c r="U248" s="26"/>
    </row>
    <row r="249" spans="2:21" x14ac:dyDescent="0.3">
      <c r="B249" s="53"/>
      <c r="C249" s="65"/>
      <c r="D249" s="61"/>
      <c r="E249" s="56"/>
      <c r="F249" s="53"/>
      <c r="G249" s="53" t="str">
        <f>IF(ISBLANK(Acciones!$H249)=TRUE," ",WEEKNUM(Acciones!$H249,21))</f>
        <v xml:space="preserve"> </v>
      </c>
      <c r="H249" s="53"/>
      <c r="I249" s="66"/>
      <c r="J249" s="53"/>
      <c r="K249" s="48" t="str">
        <f ca="1">IF(AND(ISBLANK(Acciones!$D249)=FALSE,ISBLANK(Acciones!$H249)=TRUE),"Faltan fechas",IF(Acciones!$H249="","",IF(AND(Acciones!$H249&gt;=TODAY(),ISBLANK(Acciones!$J249)=TRUE),"En tiempo",IF(AND(Acciones!$H249&lt;TODAY(),Acciones!$J249=""),"Retrasado",IF(Acciones!$J249&gt;Acciones!$H249,"Cerrado con retraso","Cerrado")))))</f>
        <v/>
      </c>
      <c r="L249" s="61"/>
      <c r="M249" s="74"/>
      <c r="T249" s="26"/>
      <c r="U249" s="26"/>
    </row>
    <row r="250" spans="2:21" x14ac:dyDescent="0.3">
      <c r="B250" s="53"/>
      <c r="C250" s="65"/>
      <c r="D250" s="61"/>
      <c r="E250" s="56"/>
      <c r="F250" s="53"/>
      <c r="G250" s="53" t="str">
        <f>IF(ISBLANK(Acciones!$H250)=TRUE," ",WEEKNUM(Acciones!$H250,21))</f>
        <v xml:space="preserve"> </v>
      </c>
      <c r="H250" s="53"/>
      <c r="I250" s="66"/>
      <c r="J250" s="53"/>
      <c r="K250" s="48" t="str">
        <f ca="1">IF(AND(ISBLANK(Acciones!$D250)=FALSE,ISBLANK(Acciones!$H250)=TRUE),"Faltan fechas",IF(Acciones!$H250="","",IF(AND(Acciones!$H250&gt;=TODAY(),ISBLANK(Acciones!$J250)=TRUE),"En tiempo",IF(AND(Acciones!$H250&lt;TODAY(),Acciones!$J250=""),"Retrasado",IF(Acciones!$J250&gt;Acciones!$H250,"Cerrado con retraso","Cerrado")))))</f>
        <v/>
      </c>
      <c r="L250" s="61"/>
      <c r="M250" s="74"/>
      <c r="T250" s="26"/>
      <c r="U250" s="26"/>
    </row>
    <row r="251" spans="2:21" x14ac:dyDescent="0.3">
      <c r="B251" s="53"/>
      <c r="C251" s="65"/>
      <c r="D251" s="61"/>
      <c r="E251" s="56"/>
      <c r="F251" s="53"/>
      <c r="G251" s="53" t="str">
        <f>IF(ISBLANK(Acciones!$H251)=TRUE," ",WEEKNUM(Acciones!$H251,21))</f>
        <v xml:space="preserve"> </v>
      </c>
      <c r="H251" s="53"/>
      <c r="I251" s="66"/>
      <c r="J251" s="53"/>
      <c r="K251" s="48" t="str">
        <f ca="1">IF(AND(ISBLANK(Acciones!$D251)=FALSE,ISBLANK(Acciones!$H251)=TRUE),"Faltan fechas",IF(Acciones!$H251="","",IF(AND(Acciones!$H251&gt;=TODAY(),ISBLANK(Acciones!$J251)=TRUE),"En tiempo",IF(AND(Acciones!$H251&lt;TODAY(),Acciones!$J251=""),"Retrasado",IF(Acciones!$J251&gt;Acciones!$H251,"Cerrado con retraso","Cerrado")))))</f>
        <v/>
      </c>
      <c r="L251" s="61"/>
      <c r="M251" s="74"/>
      <c r="T251" s="26"/>
      <c r="U251" s="26"/>
    </row>
    <row r="252" spans="2:21" x14ac:dyDescent="0.3">
      <c r="B252" s="53"/>
      <c r="C252" s="65"/>
      <c r="D252" s="61"/>
      <c r="E252" s="56"/>
      <c r="F252" s="53"/>
      <c r="G252" s="53" t="str">
        <f>IF(ISBLANK(Acciones!$H252)=TRUE," ",WEEKNUM(Acciones!$H252,21))</f>
        <v xml:space="preserve"> </v>
      </c>
      <c r="H252" s="53"/>
      <c r="I252" s="66"/>
      <c r="J252" s="53"/>
      <c r="K252" s="48" t="str">
        <f ca="1">IF(AND(ISBLANK(Acciones!$D252)=FALSE,ISBLANK(Acciones!$H252)=TRUE),"Faltan fechas",IF(Acciones!$H252="","",IF(AND(Acciones!$H252&gt;=TODAY(),ISBLANK(Acciones!$J252)=TRUE),"En tiempo",IF(AND(Acciones!$H252&lt;TODAY(),Acciones!$J252=""),"Retrasado",IF(Acciones!$J252&gt;Acciones!$H252,"Cerrado con retraso","Cerrado")))))</f>
        <v/>
      </c>
      <c r="L252" s="61"/>
      <c r="M252" s="74"/>
      <c r="T252" s="26"/>
      <c r="U252" s="26"/>
    </row>
    <row r="253" spans="2:21" x14ac:dyDescent="0.3">
      <c r="B253" s="53"/>
      <c r="C253" s="65"/>
      <c r="D253" s="61"/>
      <c r="E253" s="56"/>
      <c r="F253" s="53"/>
      <c r="G253" s="53" t="str">
        <f>IF(ISBLANK(Acciones!$H253)=TRUE," ",WEEKNUM(Acciones!$H253,21))</f>
        <v xml:space="preserve"> </v>
      </c>
      <c r="H253" s="53"/>
      <c r="I253" s="66"/>
      <c r="J253" s="53"/>
      <c r="K253" s="48" t="str">
        <f ca="1">IF(AND(ISBLANK(Acciones!$D253)=FALSE,ISBLANK(Acciones!$H253)=TRUE),"Faltan fechas",IF(Acciones!$H253="","",IF(AND(Acciones!$H253&gt;=TODAY(),ISBLANK(Acciones!$J253)=TRUE),"En tiempo",IF(AND(Acciones!$H253&lt;TODAY(),Acciones!$J253=""),"Retrasado",IF(Acciones!$J253&gt;Acciones!$H253,"Cerrado con retraso","Cerrado")))))</f>
        <v/>
      </c>
      <c r="L253" s="61"/>
      <c r="M253" s="74"/>
      <c r="T253" s="26"/>
      <c r="U253" s="26"/>
    </row>
    <row r="254" spans="2:21" x14ac:dyDescent="0.3">
      <c r="B254" s="53"/>
      <c r="C254" s="65"/>
      <c r="D254" s="61"/>
      <c r="E254" s="56"/>
      <c r="F254" s="53"/>
      <c r="G254" s="53" t="str">
        <f>IF(ISBLANK(Acciones!$H254)=TRUE," ",WEEKNUM(Acciones!$H254,21))</f>
        <v xml:space="preserve"> </v>
      </c>
      <c r="H254" s="53"/>
      <c r="I254" s="66"/>
      <c r="J254" s="53"/>
      <c r="K254" s="48" t="str">
        <f ca="1">IF(AND(ISBLANK(Acciones!$D254)=FALSE,ISBLANK(Acciones!$H254)=TRUE),"Faltan fechas",IF(Acciones!$H254="","",IF(AND(Acciones!$H254&gt;=TODAY(),ISBLANK(Acciones!$J254)=TRUE),"En tiempo",IF(AND(Acciones!$H254&lt;TODAY(),Acciones!$J254=""),"Retrasado",IF(Acciones!$J254&gt;Acciones!$H254,"Cerrado con retraso","Cerrado")))))</f>
        <v/>
      </c>
      <c r="L254" s="61"/>
      <c r="M254" s="74"/>
      <c r="T254" s="26"/>
      <c r="U254" s="26"/>
    </row>
    <row r="255" spans="2:21" x14ac:dyDescent="0.3">
      <c r="B255" s="53"/>
      <c r="C255" s="65"/>
      <c r="D255" s="61"/>
      <c r="E255" s="56"/>
      <c r="F255" s="53"/>
      <c r="G255" s="53" t="str">
        <f>IF(ISBLANK(Acciones!$H255)=TRUE," ",WEEKNUM(Acciones!$H255,21))</f>
        <v xml:space="preserve"> </v>
      </c>
      <c r="H255" s="53"/>
      <c r="I255" s="66"/>
      <c r="J255" s="53"/>
      <c r="K255" s="48" t="str">
        <f ca="1">IF(AND(ISBLANK(Acciones!$D255)=FALSE,ISBLANK(Acciones!$H255)=TRUE),"Faltan fechas",IF(Acciones!$H255="","",IF(AND(Acciones!$H255&gt;=TODAY(),ISBLANK(Acciones!$J255)=TRUE),"En tiempo",IF(AND(Acciones!$H255&lt;TODAY(),Acciones!$J255=""),"Retrasado",IF(Acciones!$J255&gt;Acciones!$H255,"Cerrado con retraso","Cerrado")))))</f>
        <v/>
      </c>
      <c r="L255" s="61"/>
      <c r="M255" s="74"/>
      <c r="T255" s="26"/>
      <c r="U255" s="26"/>
    </row>
    <row r="256" spans="2:21" x14ac:dyDescent="0.3">
      <c r="B256" s="53"/>
      <c r="C256" s="65"/>
      <c r="D256" s="61"/>
      <c r="E256" s="56"/>
      <c r="F256" s="53"/>
      <c r="G256" s="53" t="str">
        <f>IF(ISBLANK(Acciones!$H256)=TRUE," ",WEEKNUM(Acciones!$H256,21))</f>
        <v xml:space="preserve"> </v>
      </c>
      <c r="H256" s="53"/>
      <c r="I256" s="66"/>
      <c r="J256" s="53"/>
      <c r="K256" s="48" t="str">
        <f ca="1">IF(AND(ISBLANK(Acciones!$D256)=FALSE,ISBLANK(Acciones!$H256)=TRUE),"Faltan fechas",IF(Acciones!$H256="","",IF(AND(Acciones!$H256&gt;=TODAY(),ISBLANK(Acciones!$J256)=TRUE),"En tiempo",IF(AND(Acciones!$H256&lt;TODAY(),Acciones!$J256=""),"Retrasado",IF(Acciones!$J256&gt;Acciones!$H256,"Cerrado con retraso","Cerrado")))))</f>
        <v/>
      </c>
      <c r="L256" s="61"/>
      <c r="M256" s="74"/>
      <c r="T256" s="26"/>
      <c r="U256" s="26"/>
    </row>
    <row r="257" spans="2:21" x14ac:dyDescent="0.3">
      <c r="B257" s="53"/>
      <c r="C257" s="65"/>
      <c r="D257" s="61"/>
      <c r="E257" s="56"/>
      <c r="F257" s="53"/>
      <c r="G257" s="53" t="str">
        <f>IF(ISBLANK(Acciones!$H257)=TRUE," ",WEEKNUM(Acciones!$H257,21))</f>
        <v xml:space="preserve"> </v>
      </c>
      <c r="H257" s="53"/>
      <c r="I257" s="66"/>
      <c r="J257" s="53"/>
      <c r="K257" s="48" t="str">
        <f ca="1">IF(AND(ISBLANK(Acciones!$D257)=FALSE,ISBLANK(Acciones!$H257)=TRUE),"Faltan fechas",IF(Acciones!$H257="","",IF(AND(Acciones!$H257&gt;=TODAY(),ISBLANK(Acciones!$J257)=TRUE),"En tiempo",IF(AND(Acciones!$H257&lt;TODAY(),Acciones!$J257=""),"Retrasado",IF(Acciones!$J257&gt;Acciones!$H257,"Cerrado con retraso","Cerrado")))))</f>
        <v/>
      </c>
      <c r="L257" s="61"/>
      <c r="M257" s="74"/>
      <c r="T257" s="26"/>
      <c r="U257" s="26"/>
    </row>
    <row r="258" spans="2:21" x14ac:dyDescent="0.3">
      <c r="B258" s="53"/>
      <c r="C258" s="65"/>
      <c r="D258" s="61"/>
      <c r="E258" s="56"/>
      <c r="F258" s="53"/>
      <c r="G258" s="53" t="str">
        <f>IF(ISBLANK(Acciones!$H258)=TRUE," ",WEEKNUM(Acciones!$H258,21))</f>
        <v xml:space="preserve"> </v>
      </c>
      <c r="H258" s="53"/>
      <c r="I258" s="66"/>
      <c r="J258" s="53"/>
      <c r="K258" s="48" t="str">
        <f ca="1">IF(AND(ISBLANK(Acciones!$D258)=FALSE,ISBLANK(Acciones!$H258)=TRUE),"Faltan fechas",IF(Acciones!$H258="","",IF(AND(Acciones!$H258&gt;=TODAY(),ISBLANK(Acciones!$J258)=TRUE),"En tiempo",IF(AND(Acciones!$H258&lt;TODAY(),Acciones!$J258=""),"Retrasado",IF(Acciones!$J258&gt;Acciones!$H258,"Cerrado con retraso","Cerrado")))))</f>
        <v/>
      </c>
      <c r="L258" s="61"/>
      <c r="M258" s="74"/>
      <c r="T258" s="26"/>
      <c r="U258" s="26"/>
    </row>
    <row r="259" spans="2:21" x14ac:dyDescent="0.3">
      <c r="B259" s="53"/>
      <c r="C259" s="65"/>
      <c r="D259" s="61"/>
      <c r="E259" s="56"/>
      <c r="F259" s="53"/>
      <c r="G259" s="53" t="str">
        <f>IF(ISBLANK(Acciones!$H259)=TRUE," ",WEEKNUM(Acciones!$H259,21))</f>
        <v xml:space="preserve"> </v>
      </c>
      <c r="H259" s="53"/>
      <c r="I259" s="66"/>
      <c r="J259" s="53"/>
      <c r="K259" s="48" t="str">
        <f ca="1">IF(AND(ISBLANK(Acciones!$D259)=FALSE,ISBLANK(Acciones!$H259)=TRUE),"Faltan fechas",IF(Acciones!$H259="","",IF(AND(Acciones!$H259&gt;=TODAY(),ISBLANK(Acciones!$J259)=TRUE),"En tiempo",IF(AND(Acciones!$H259&lt;TODAY(),Acciones!$J259=""),"Retrasado",IF(Acciones!$J259&gt;Acciones!$H259,"Cerrado con retraso","Cerrado")))))</f>
        <v/>
      </c>
      <c r="L259" s="61"/>
      <c r="M259" s="74"/>
      <c r="T259" s="26"/>
      <c r="U259" s="26"/>
    </row>
    <row r="260" spans="2:21" x14ac:dyDescent="0.3">
      <c r="B260" s="53"/>
      <c r="C260" s="65"/>
      <c r="D260" s="61"/>
      <c r="E260" s="56"/>
      <c r="F260" s="53"/>
      <c r="G260" s="53" t="str">
        <f>IF(ISBLANK(Acciones!$H260)=TRUE," ",WEEKNUM(Acciones!$H260,21))</f>
        <v xml:space="preserve"> </v>
      </c>
      <c r="H260" s="53"/>
      <c r="I260" s="66"/>
      <c r="J260" s="53"/>
      <c r="K260" s="48" t="str">
        <f ca="1">IF(AND(ISBLANK(Acciones!$D260)=FALSE,ISBLANK(Acciones!$H260)=TRUE),"Faltan fechas",IF(Acciones!$H260="","",IF(AND(Acciones!$H260&gt;=TODAY(),ISBLANK(Acciones!$J260)=TRUE),"En tiempo",IF(AND(Acciones!$H260&lt;TODAY(),Acciones!$J260=""),"Retrasado",IF(Acciones!$J260&gt;Acciones!$H260,"Cerrado con retraso","Cerrado")))))</f>
        <v/>
      </c>
      <c r="L260" s="61"/>
      <c r="M260" s="74"/>
      <c r="T260" s="26"/>
      <c r="U260" s="26"/>
    </row>
    <row r="261" spans="2:21" x14ac:dyDescent="0.3">
      <c r="B261" s="53"/>
      <c r="C261" s="65"/>
      <c r="D261" s="61"/>
      <c r="E261" s="56"/>
      <c r="F261" s="53"/>
      <c r="G261" s="53" t="str">
        <f>IF(ISBLANK(Acciones!$H261)=TRUE," ",WEEKNUM(Acciones!$H261,21))</f>
        <v xml:space="preserve"> </v>
      </c>
      <c r="H261" s="53"/>
      <c r="I261" s="66"/>
      <c r="J261" s="53"/>
      <c r="K261" s="48" t="str">
        <f ca="1">IF(AND(ISBLANK(Acciones!$D261)=FALSE,ISBLANK(Acciones!$H261)=TRUE),"Faltan fechas",IF(Acciones!$H261="","",IF(AND(Acciones!$H261&gt;=TODAY(),ISBLANK(Acciones!$J261)=TRUE),"En tiempo",IF(AND(Acciones!$H261&lt;TODAY(),Acciones!$J261=""),"Retrasado",IF(Acciones!$J261&gt;Acciones!$H261,"Cerrado con retraso","Cerrado")))))</f>
        <v/>
      </c>
      <c r="L261" s="61"/>
      <c r="M261" s="74"/>
      <c r="T261" s="26"/>
      <c r="U261" s="26"/>
    </row>
    <row r="262" spans="2:21" x14ac:dyDescent="0.3">
      <c r="B262" s="53"/>
      <c r="C262" s="65"/>
      <c r="D262" s="61"/>
      <c r="E262" s="56"/>
      <c r="F262" s="53"/>
      <c r="G262" s="53" t="str">
        <f>IF(ISBLANK(Acciones!$H262)=TRUE," ",WEEKNUM(Acciones!$H262,21))</f>
        <v xml:space="preserve"> </v>
      </c>
      <c r="H262" s="53"/>
      <c r="I262" s="66"/>
      <c r="J262" s="53"/>
      <c r="K262" s="48" t="str">
        <f ca="1">IF(AND(ISBLANK(Acciones!$D262)=FALSE,ISBLANK(Acciones!$H262)=TRUE),"Faltan fechas",IF(Acciones!$H262="","",IF(AND(Acciones!$H262&gt;=TODAY(),ISBLANK(Acciones!$J262)=TRUE),"En tiempo",IF(AND(Acciones!$H262&lt;TODAY(),Acciones!$J262=""),"Retrasado",IF(Acciones!$J262&gt;Acciones!$H262,"Cerrado con retraso","Cerrado")))))</f>
        <v/>
      </c>
      <c r="L262" s="61"/>
      <c r="M262" s="74"/>
      <c r="T262" s="26"/>
      <c r="U262" s="26"/>
    </row>
    <row r="263" spans="2:21" x14ac:dyDescent="0.3">
      <c r="B263" s="53"/>
      <c r="C263" s="65"/>
      <c r="D263" s="61"/>
      <c r="E263" s="56"/>
      <c r="F263" s="53"/>
      <c r="G263" s="53" t="str">
        <f>IF(ISBLANK(Acciones!$H263)=TRUE," ",WEEKNUM(Acciones!$H263,21))</f>
        <v xml:space="preserve"> </v>
      </c>
      <c r="H263" s="53"/>
      <c r="I263" s="66"/>
      <c r="J263" s="53"/>
      <c r="K263" s="48" t="str">
        <f ca="1">IF(AND(ISBLANK(Acciones!$D263)=FALSE,ISBLANK(Acciones!$H263)=TRUE),"Faltan fechas",IF(Acciones!$H263="","",IF(AND(Acciones!$H263&gt;=TODAY(),ISBLANK(Acciones!$J263)=TRUE),"En tiempo",IF(AND(Acciones!$H263&lt;TODAY(),Acciones!$J263=""),"Retrasado",IF(Acciones!$J263&gt;Acciones!$H263,"Cerrado con retraso","Cerrado")))))</f>
        <v/>
      </c>
      <c r="L263" s="61"/>
      <c r="M263" s="74"/>
      <c r="T263" s="26"/>
      <c r="U263" s="26"/>
    </row>
    <row r="264" spans="2:21" x14ac:dyDescent="0.3">
      <c r="B264" s="53"/>
      <c r="C264" s="65"/>
      <c r="D264" s="61"/>
      <c r="E264" s="56"/>
      <c r="F264" s="53"/>
      <c r="G264" s="53" t="str">
        <f>IF(ISBLANK(Acciones!$H264)=TRUE," ",WEEKNUM(Acciones!$H264,21))</f>
        <v xml:space="preserve"> </v>
      </c>
      <c r="H264" s="53"/>
      <c r="I264" s="66"/>
      <c r="J264" s="53"/>
      <c r="K264" s="48" t="str">
        <f ca="1">IF(AND(ISBLANK(Acciones!$D264)=FALSE,ISBLANK(Acciones!$H264)=TRUE),"Faltan fechas",IF(Acciones!$H264="","",IF(AND(Acciones!$H264&gt;=TODAY(),ISBLANK(Acciones!$J264)=TRUE),"En tiempo",IF(AND(Acciones!$H264&lt;TODAY(),Acciones!$J264=""),"Retrasado",IF(Acciones!$J264&gt;Acciones!$H264,"Cerrado con retraso","Cerrado")))))</f>
        <v/>
      </c>
      <c r="L264" s="61"/>
      <c r="M264" s="74"/>
      <c r="T264" s="26"/>
      <c r="U264" s="26"/>
    </row>
    <row r="265" spans="2:21" x14ac:dyDescent="0.3">
      <c r="B265" s="53"/>
      <c r="C265" s="65"/>
      <c r="D265" s="61"/>
      <c r="E265" s="56"/>
      <c r="F265" s="53"/>
      <c r="G265" s="53" t="str">
        <f>IF(ISBLANK(Acciones!$H265)=TRUE," ",WEEKNUM(Acciones!$H265,21))</f>
        <v xml:space="preserve"> </v>
      </c>
      <c r="H265" s="53"/>
      <c r="I265" s="66"/>
      <c r="J265" s="53"/>
      <c r="K265" s="48" t="str">
        <f ca="1">IF(AND(ISBLANK(Acciones!$D265)=FALSE,ISBLANK(Acciones!$H265)=TRUE),"Faltan fechas",IF(Acciones!$H265="","",IF(AND(Acciones!$H265&gt;=TODAY(),ISBLANK(Acciones!$J265)=TRUE),"En tiempo",IF(AND(Acciones!$H265&lt;TODAY(),Acciones!$J265=""),"Retrasado",IF(Acciones!$J265&gt;Acciones!$H265,"Cerrado con retraso","Cerrado")))))</f>
        <v/>
      </c>
      <c r="L265" s="61"/>
      <c r="M265" s="74"/>
      <c r="T265" s="26"/>
      <c r="U265" s="26"/>
    </row>
    <row r="266" spans="2:21" x14ac:dyDescent="0.3">
      <c r="B266" s="53"/>
      <c r="C266" s="65"/>
      <c r="D266" s="61"/>
      <c r="E266" s="56"/>
      <c r="F266" s="53"/>
      <c r="G266" s="53" t="str">
        <f>IF(ISBLANK(Acciones!$H266)=TRUE," ",WEEKNUM(Acciones!$H266,21))</f>
        <v xml:space="preserve"> </v>
      </c>
      <c r="H266" s="53"/>
      <c r="I266" s="66"/>
      <c r="J266" s="53"/>
      <c r="K266" s="48" t="str">
        <f ca="1">IF(AND(ISBLANK(Acciones!$D266)=FALSE,ISBLANK(Acciones!$H266)=TRUE),"Faltan fechas",IF(Acciones!$H266="","",IF(AND(Acciones!$H266&gt;=TODAY(),ISBLANK(Acciones!$J266)=TRUE),"En tiempo",IF(AND(Acciones!$H266&lt;TODAY(),Acciones!$J266=""),"Retrasado",IF(Acciones!$J266&gt;Acciones!$H266,"Cerrado con retraso","Cerrado")))))</f>
        <v/>
      </c>
      <c r="L266" s="61"/>
      <c r="M266" s="74"/>
      <c r="T266" s="26"/>
      <c r="U266" s="26"/>
    </row>
    <row r="267" spans="2:21" x14ac:dyDescent="0.3">
      <c r="B267" s="53"/>
      <c r="C267" s="65"/>
      <c r="D267" s="61"/>
      <c r="E267" s="56"/>
      <c r="F267" s="53"/>
      <c r="G267" s="53" t="str">
        <f>IF(ISBLANK(Acciones!$H267)=TRUE," ",WEEKNUM(Acciones!$H267,21))</f>
        <v xml:space="preserve"> </v>
      </c>
      <c r="H267" s="53"/>
      <c r="I267" s="66"/>
      <c r="J267" s="53"/>
      <c r="K267" s="48" t="str">
        <f ca="1">IF(AND(ISBLANK(Acciones!$D267)=FALSE,ISBLANK(Acciones!$H267)=TRUE),"Faltan fechas",IF(Acciones!$H267="","",IF(AND(Acciones!$H267&gt;=TODAY(),ISBLANK(Acciones!$J267)=TRUE),"En tiempo",IF(AND(Acciones!$H267&lt;TODAY(),Acciones!$J267=""),"Retrasado",IF(Acciones!$J267&gt;Acciones!$H267,"Cerrado con retraso","Cerrado")))))</f>
        <v/>
      </c>
      <c r="L267" s="61"/>
      <c r="M267" s="74"/>
      <c r="T267" s="26"/>
      <c r="U267" s="26"/>
    </row>
    <row r="268" spans="2:21" x14ac:dyDescent="0.3">
      <c r="B268" s="53"/>
      <c r="C268" s="65"/>
      <c r="D268" s="61"/>
      <c r="E268" s="56"/>
      <c r="F268" s="53"/>
      <c r="G268" s="53" t="str">
        <f>IF(ISBLANK(Acciones!$H268)=TRUE," ",WEEKNUM(Acciones!$H268,21))</f>
        <v xml:space="preserve"> </v>
      </c>
      <c r="H268" s="53"/>
      <c r="I268" s="66"/>
      <c r="J268" s="53"/>
      <c r="K268" s="48" t="str">
        <f ca="1">IF(AND(ISBLANK(Acciones!$D268)=FALSE,ISBLANK(Acciones!$H268)=TRUE),"Faltan fechas",IF(Acciones!$H268="","",IF(AND(Acciones!$H268&gt;=TODAY(),ISBLANK(Acciones!$J268)=TRUE),"En tiempo",IF(AND(Acciones!$H268&lt;TODAY(),Acciones!$J268=""),"Retrasado",IF(Acciones!$J268&gt;Acciones!$H268,"Cerrado con retraso","Cerrado")))))</f>
        <v/>
      </c>
      <c r="L268" s="61"/>
      <c r="M268" s="74"/>
      <c r="T268" s="26"/>
      <c r="U268" s="26"/>
    </row>
    <row r="269" spans="2:21" x14ac:dyDescent="0.3">
      <c r="B269" s="53"/>
      <c r="C269" s="65"/>
      <c r="D269" s="61"/>
      <c r="E269" s="56"/>
      <c r="F269" s="53"/>
      <c r="G269" s="53" t="str">
        <f>IF(ISBLANK(Acciones!$H269)=TRUE," ",WEEKNUM(Acciones!$H269,21))</f>
        <v xml:space="preserve"> </v>
      </c>
      <c r="H269" s="53"/>
      <c r="I269" s="66"/>
      <c r="J269" s="53"/>
      <c r="K269" s="48" t="str">
        <f ca="1">IF(AND(ISBLANK(Acciones!$D269)=FALSE,ISBLANK(Acciones!$H269)=TRUE),"Faltan fechas",IF(Acciones!$H269="","",IF(AND(Acciones!$H269&gt;=TODAY(),ISBLANK(Acciones!$J269)=TRUE),"En tiempo",IF(AND(Acciones!$H269&lt;TODAY(),Acciones!$J269=""),"Retrasado",IF(Acciones!$J269&gt;Acciones!$H269,"Cerrado con retraso","Cerrado")))))</f>
        <v/>
      </c>
      <c r="L269" s="61"/>
      <c r="M269" s="74"/>
      <c r="T269" s="26"/>
      <c r="U269" s="26"/>
    </row>
    <row r="270" spans="2:21" x14ac:dyDescent="0.3">
      <c r="B270" s="53"/>
      <c r="C270" s="65"/>
      <c r="D270" s="61"/>
      <c r="E270" s="56"/>
      <c r="F270" s="53"/>
      <c r="G270" s="53" t="str">
        <f>IF(ISBLANK(Acciones!$H270)=TRUE," ",WEEKNUM(Acciones!$H270,21))</f>
        <v xml:space="preserve"> </v>
      </c>
      <c r="H270" s="53"/>
      <c r="I270" s="66"/>
      <c r="J270" s="53"/>
      <c r="K270" s="48" t="str">
        <f ca="1">IF(AND(ISBLANK(Acciones!$D270)=FALSE,ISBLANK(Acciones!$H270)=TRUE),"Faltan fechas",IF(Acciones!$H270="","",IF(AND(Acciones!$H270&gt;=TODAY(),ISBLANK(Acciones!$J270)=TRUE),"En tiempo",IF(AND(Acciones!$H270&lt;TODAY(),Acciones!$J270=""),"Retrasado",IF(Acciones!$J270&gt;Acciones!$H270,"Cerrado con retraso","Cerrado")))))</f>
        <v/>
      </c>
      <c r="L270" s="61"/>
      <c r="M270" s="74"/>
      <c r="T270" s="26"/>
      <c r="U270" s="26"/>
    </row>
    <row r="271" spans="2:21" x14ac:dyDescent="0.3">
      <c r="B271" s="53"/>
      <c r="C271" s="65"/>
      <c r="D271" s="61"/>
      <c r="E271" s="56"/>
      <c r="F271" s="53"/>
      <c r="G271" s="53" t="str">
        <f>IF(ISBLANK(Acciones!$H271)=TRUE," ",WEEKNUM(Acciones!$H271,21))</f>
        <v xml:space="preserve"> </v>
      </c>
      <c r="H271" s="53"/>
      <c r="I271" s="66"/>
      <c r="J271" s="53"/>
      <c r="K271" s="48" t="str">
        <f ca="1">IF(AND(ISBLANK(Acciones!$D271)=FALSE,ISBLANK(Acciones!$H271)=TRUE),"Faltan fechas",IF(Acciones!$H271="","",IF(AND(Acciones!$H271&gt;=TODAY(),ISBLANK(Acciones!$J271)=TRUE),"En tiempo",IF(AND(Acciones!$H271&lt;TODAY(),Acciones!$J271=""),"Retrasado",IF(Acciones!$J271&gt;Acciones!$H271,"Cerrado con retraso","Cerrado")))))</f>
        <v/>
      </c>
      <c r="L271" s="61"/>
      <c r="M271" s="74"/>
      <c r="T271" s="26"/>
      <c r="U271" s="26"/>
    </row>
    <row r="272" spans="2:21" x14ac:dyDescent="0.3">
      <c r="B272" s="53"/>
      <c r="C272" s="65"/>
      <c r="D272" s="61"/>
      <c r="E272" s="56"/>
      <c r="F272" s="53"/>
      <c r="G272" s="53" t="str">
        <f>IF(ISBLANK(Acciones!$H272)=TRUE," ",WEEKNUM(Acciones!$H272,21))</f>
        <v xml:space="preserve"> </v>
      </c>
      <c r="H272" s="53"/>
      <c r="I272" s="66"/>
      <c r="J272" s="53"/>
      <c r="K272" s="48" t="str">
        <f ca="1">IF(AND(ISBLANK(Acciones!$D272)=FALSE,ISBLANK(Acciones!$H272)=TRUE),"Faltan fechas",IF(Acciones!$H272="","",IF(AND(Acciones!$H272&gt;=TODAY(),ISBLANK(Acciones!$J272)=TRUE),"En tiempo",IF(AND(Acciones!$H272&lt;TODAY(),Acciones!$J272=""),"Retrasado",IF(Acciones!$J272&gt;Acciones!$H272,"Cerrado con retraso","Cerrado")))))</f>
        <v/>
      </c>
      <c r="L272" s="61"/>
      <c r="M272" s="74"/>
      <c r="T272" s="26"/>
      <c r="U272" s="26"/>
    </row>
    <row r="273" spans="2:21" x14ac:dyDescent="0.3">
      <c r="B273" s="53"/>
      <c r="C273" s="65"/>
      <c r="D273" s="61"/>
      <c r="E273" s="56"/>
      <c r="F273" s="53"/>
      <c r="G273" s="53" t="str">
        <f>IF(ISBLANK(Acciones!$H273)=TRUE," ",WEEKNUM(Acciones!$H273,21))</f>
        <v xml:space="preserve"> </v>
      </c>
      <c r="H273" s="53"/>
      <c r="I273" s="66"/>
      <c r="J273" s="53"/>
      <c r="K273" s="48" t="str">
        <f ca="1">IF(AND(ISBLANK(Acciones!$D273)=FALSE,ISBLANK(Acciones!$H273)=TRUE),"Faltan fechas",IF(Acciones!$H273="","",IF(AND(Acciones!$H273&gt;=TODAY(),ISBLANK(Acciones!$J273)=TRUE),"En tiempo",IF(AND(Acciones!$H273&lt;TODAY(),Acciones!$J273=""),"Retrasado",IF(Acciones!$J273&gt;Acciones!$H273,"Cerrado con retraso","Cerrado")))))</f>
        <v/>
      </c>
      <c r="L273" s="61"/>
      <c r="M273" s="74"/>
      <c r="T273" s="26"/>
      <c r="U273" s="26"/>
    </row>
    <row r="274" spans="2:21" x14ac:dyDescent="0.3">
      <c r="B274" s="53"/>
      <c r="C274" s="65"/>
      <c r="D274" s="61"/>
      <c r="E274" s="56"/>
      <c r="F274" s="53"/>
      <c r="G274" s="53" t="str">
        <f>IF(ISBLANK(Acciones!$H274)=TRUE," ",WEEKNUM(Acciones!$H274,21))</f>
        <v xml:space="preserve"> </v>
      </c>
      <c r="H274" s="53"/>
      <c r="I274" s="66"/>
      <c r="J274" s="53"/>
      <c r="K274" s="48" t="str">
        <f ca="1">IF(AND(ISBLANK(Acciones!$D274)=FALSE,ISBLANK(Acciones!$H274)=TRUE),"Faltan fechas",IF(Acciones!$H274="","",IF(AND(Acciones!$H274&gt;=TODAY(),ISBLANK(Acciones!$J274)=TRUE),"En tiempo",IF(AND(Acciones!$H274&lt;TODAY(),Acciones!$J274=""),"Retrasado",IF(Acciones!$J274&gt;Acciones!$H274,"Cerrado con retraso","Cerrado")))))</f>
        <v/>
      </c>
      <c r="L274" s="61"/>
      <c r="M274" s="74"/>
      <c r="T274" s="26"/>
      <c r="U274" s="26"/>
    </row>
    <row r="275" spans="2:21" x14ac:dyDescent="0.3">
      <c r="B275" s="53"/>
      <c r="C275" s="65"/>
      <c r="D275" s="61"/>
      <c r="E275" s="56"/>
      <c r="F275" s="53"/>
      <c r="G275" s="53" t="str">
        <f>IF(ISBLANK(Acciones!$H275)=TRUE," ",WEEKNUM(Acciones!$H275,21))</f>
        <v xml:space="preserve"> </v>
      </c>
      <c r="H275" s="53"/>
      <c r="I275" s="66"/>
      <c r="J275" s="53"/>
      <c r="K275" s="48" t="str">
        <f ca="1">IF(AND(ISBLANK(Acciones!$D275)=FALSE,ISBLANK(Acciones!$H275)=TRUE),"Faltan fechas",IF(Acciones!$H275="","",IF(AND(Acciones!$H275&gt;=TODAY(),ISBLANK(Acciones!$J275)=TRUE),"En tiempo",IF(AND(Acciones!$H275&lt;TODAY(),Acciones!$J275=""),"Retrasado",IF(Acciones!$J275&gt;Acciones!$H275,"Cerrado con retraso","Cerrado")))))</f>
        <v/>
      </c>
      <c r="L275" s="61"/>
      <c r="M275" s="74"/>
      <c r="T275" s="26"/>
      <c r="U275" s="26"/>
    </row>
    <row r="276" spans="2:21" x14ac:dyDescent="0.3">
      <c r="B276" s="53"/>
      <c r="C276" s="65"/>
      <c r="D276" s="61"/>
      <c r="E276" s="56"/>
      <c r="F276" s="53"/>
      <c r="G276" s="53" t="str">
        <f>IF(ISBLANK(Acciones!$H276)=TRUE," ",WEEKNUM(Acciones!$H276,21))</f>
        <v xml:space="preserve"> </v>
      </c>
      <c r="H276" s="53"/>
      <c r="I276" s="66"/>
      <c r="J276" s="53"/>
      <c r="K276" s="48" t="str">
        <f ca="1">IF(AND(ISBLANK(Acciones!$D276)=FALSE,ISBLANK(Acciones!$H276)=TRUE),"Faltan fechas",IF(Acciones!$H276="","",IF(AND(Acciones!$H276&gt;=TODAY(),ISBLANK(Acciones!$J276)=TRUE),"En tiempo",IF(AND(Acciones!$H276&lt;TODAY(),Acciones!$J276=""),"Retrasado",IF(Acciones!$J276&gt;Acciones!$H276,"Cerrado con retraso","Cerrado")))))</f>
        <v/>
      </c>
      <c r="L276" s="61"/>
      <c r="M276" s="74"/>
      <c r="T276" s="26"/>
      <c r="U276" s="26"/>
    </row>
    <row r="277" spans="2:21" x14ac:dyDescent="0.3">
      <c r="B277" s="53"/>
      <c r="C277" s="65"/>
      <c r="D277" s="61"/>
      <c r="E277" s="56"/>
      <c r="F277" s="53"/>
      <c r="G277" s="53" t="str">
        <f>IF(ISBLANK(Acciones!$H277)=TRUE," ",WEEKNUM(Acciones!$H277,21))</f>
        <v xml:space="preserve"> </v>
      </c>
      <c r="H277" s="53"/>
      <c r="I277" s="66"/>
      <c r="J277" s="53"/>
      <c r="K277" s="48" t="str">
        <f ca="1">IF(AND(ISBLANK(Acciones!$D277)=FALSE,ISBLANK(Acciones!$H277)=TRUE),"Faltan fechas",IF(Acciones!$H277="","",IF(AND(Acciones!$H277&gt;=TODAY(),ISBLANK(Acciones!$J277)=TRUE),"En tiempo",IF(AND(Acciones!$H277&lt;TODAY(),Acciones!$J277=""),"Retrasado",IF(Acciones!$J277&gt;Acciones!$H277,"Cerrado con retraso","Cerrado")))))</f>
        <v/>
      </c>
      <c r="L277" s="61"/>
      <c r="M277" s="74"/>
      <c r="T277" s="26"/>
      <c r="U277" s="26"/>
    </row>
    <row r="278" spans="2:21" x14ac:dyDescent="0.3">
      <c r="B278" s="53"/>
      <c r="C278" s="65"/>
      <c r="D278" s="61"/>
      <c r="E278" s="56"/>
      <c r="F278" s="53"/>
      <c r="G278" s="53" t="str">
        <f>IF(ISBLANK(Acciones!$H278)=TRUE," ",WEEKNUM(Acciones!$H278,21))</f>
        <v xml:space="preserve"> </v>
      </c>
      <c r="H278" s="53"/>
      <c r="I278" s="66"/>
      <c r="J278" s="53"/>
      <c r="K278" s="48" t="str">
        <f ca="1">IF(AND(ISBLANK(Acciones!$D278)=FALSE,ISBLANK(Acciones!$H278)=TRUE),"Faltan fechas",IF(Acciones!$H278="","",IF(AND(Acciones!$H278&gt;=TODAY(),ISBLANK(Acciones!$J278)=TRUE),"En tiempo",IF(AND(Acciones!$H278&lt;TODAY(),Acciones!$J278=""),"Retrasado",IF(Acciones!$J278&gt;Acciones!$H278,"Cerrado con retraso","Cerrado")))))</f>
        <v/>
      </c>
      <c r="L278" s="61"/>
      <c r="M278" s="74"/>
      <c r="T278" s="26"/>
      <c r="U278" s="26"/>
    </row>
    <row r="279" spans="2:21" x14ac:dyDescent="0.3">
      <c r="B279" s="53"/>
      <c r="C279" s="65"/>
      <c r="D279" s="61"/>
      <c r="E279" s="56"/>
      <c r="F279" s="53"/>
      <c r="G279" s="53" t="str">
        <f>IF(ISBLANK(Acciones!$H279)=TRUE," ",WEEKNUM(Acciones!$H279,21))</f>
        <v xml:space="preserve"> </v>
      </c>
      <c r="H279" s="53"/>
      <c r="I279" s="66"/>
      <c r="J279" s="53"/>
      <c r="K279" s="48" t="str">
        <f ca="1">IF(AND(ISBLANK(Acciones!$D279)=FALSE,ISBLANK(Acciones!$H279)=TRUE),"Faltan fechas",IF(Acciones!$H279="","",IF(AND(Acciones!$H279&gt;=TODAY(),ISBLANK(Acciones!$J279)=TRUE),"En tiempo",IF(AND(Acciones!$H279&lt;TODAY(),Acciones!$J279=""),"Retrasado",IF(Acciones!$J279&gt;Acciones!$H279,"Cerrado con retraso","Cerrado")))))</f>
        <v/>
      </c>
      <c r="L279" s="61"/>
      <c r="M279" s="74"/>
      <c r="T279" s="26"/>
      <c r="U279" s="26"/>
    </row>
    <row r="280" spans="2:21" x14ac:dyDescent="0.3">
      <c r="B280" s="53"/>
      <c r="C280" s="65"/>
      <c r="D280" s="61"/>
      <c r="E280" s="56"/>
      <c r="F280" s="53"/>
      <c r="G280" s="53" t="str">
        <f>IF(ISBLANK(Acciones!$H280)=TRUE," ",WEEKNUM(Acciones!$H280,21))</f>
        <v xml:space="preserve"> </v>
      </c>
      <c r="H280" s="53"/>
      <c r="I280" s="66"/>
      <c r="J280" s="53"/>
      <c r="K280" s="48" t="str">
        <f ca="1">IF(AND(ISBLANK(Acciones!$D280)=FALSE,ISBLANK(Acciones!$H280)=TRUE),"Faltan fechas",IF(Acciones!$H280="","",IF(AND(Acciones!$H280&gt;=TODAY(),ISBLANK(Acciones!$J280)=TRUE),"En tiempo",IF(AND(Acciones!$H280&lt;TODAY(),Acciones!$J280=""),"Retrasado",IF(Acciones!$J280&gt;Acciones!$H280,"Cerrado con retraso","Cerrado")))))</f>
        <v/>
      </c>
      <c r="L280" s="61"/>
      <c r="M280" s="74"/>
      <c r="T280" s="26"/>
      <c r="U280" s="26"/>
    </row>
    <row r="281" spans="2:21" x14ac:dyDescent="0.3">
      <c r="B281" s="53"/>
      <c r="C281" s="65"/>
      <c r="D281" s="61"/>
      <c r="E281" s="56"/>
      <c r="F281" s="53"/>
      <c r="G281" s="53" t="str">
        <f>IF(ISBLANK(Acciones!$H281)=TRUE," ",WEEKNUM(Acciones!$H281,21))</f>
        <v xml:space="preserve"> </v>
      </c>
      <c r="H281" s="53"/>
      <c r="I281" s="66"/>
      <c r="J281" s="53"/>
      <c r="K281" s="48" t="str">
        <f ca="1">IF(AND(ISBLANK(Acciones!$D281)=FALSE,ISBLANK(Acciones!$H281)=TRUE),"Faltan fechas",IF(Acciones!$H281="","",IF(AND(Acciones!$H281&gt;=TODAY(),ISBLANK(Acciones!$J281)=TRUE),"En tiempo",IF(AND(Acciones!$H281&lt;TODAY(),Acciones!$J281=""),"Retrasado",IF(Acciones!$J281&gt;Acciones!$H281,"Cerrado con retraso","Cerrado")))))</f>
        <v/>
      </c>
      <c r="L281" s="61"/>
      <c r="M281" s="74"/>
      <c r="T281" s="26"/>
      <c r="U281" s="26"/>
    </row>
    <row r="282" spans="2:21" x14ac:dyDescent="0.3">
      <c r="B282" s="53"/>
      <c r="C282" s="65"/>
      <c r="D282" s="61"/>
      <c r="E282" s="56"/>
      <c r="F282" s="53"/>
      <c r="G282" s="53" t="str">
        <f>IF(ISBLANK(Acciones!$H282)=TRUE," ",WEEKNUM(Acciones!$H282,21))</f>
        <v xml:space="preserve"> </v>
      </c>
      <c r="H282" s="53"/>
      <c r="I282" s="66"/>
      <c r="J282" s="53"/>
      <c r="K282" s="48" t="str">
        <f ca="1">IF(AND(ISBLANK(Acciones!$D282)=FALSE,ISBLANK(Acciones!$H282)=TRUE),"Faltan fechas",IF(Acciones!$H282="","",IF(AND(Acciones!$H282&gt;=TODAY(),ISBLANK(Acciones!$J282)=TRUE),"En tiempo",IF(AND(Acciones!$H282&lt;TODAY(),Acciones!$J282=""),"Retrasado",IF(Acciones!$J282&gt;Acciones!$H282,"Cerrado con retraso","Cerrado")))))</f>
        <v/>
      </c>
      <c r="L282" s="61"/>
      <c r="M282" s="74"/>
      <c r="T282" s="26"/>
      <c r="U282" s="26"/>
    </row>
    <row r="283" spans="2:21" x14ac:dyDescent="0.3">
      <c r="B283" s="53"/>
      <c r="C283" s="65"/>
      <c r="D283" s="61"/>
      <c r="E283" s="56"/>
      <c r="F283" s="53"/>
      <c r="G283" s="53" t="str">
        <f>IF(ISBLANK(Acciones!$H283)=TRUE," ",WEEKNUM(Acciones!$H283,21))</f>
        <v xml:space="preserve"> </v>
      </c>
      <c r="H283" s="53"/>
      <c r="I283" s="66"/>
      <c r="J283" s="53"/>
      <c r="K283" s="48" t="str">
        <f ca="1">IF(AND(ISBLANK(Acciones!$D283)=FALSE,ISBLANK(Acciones!$H283)=TRUE),"Faltan fechas",IF(Acciones!$H283="","",IF(AND(Acciones!$H283&gt;=TODAY(),ISBLANK(Acciones!$J283)=TRUE),"En tiempo",IF(AND(Acciones!$H283&lt;TODAY(),Acciones!$J283=""),"Retrasado",IF(Acciones!$J283&gt;Acciones!$H283,"Cerrado con retraso","Cerrado")))))</f>
        <v/>
      </c>
      <c r="L283" s="61"/>
      <c r="M283" s="74"/>
      <c r="T283" s="26"/>
      <c r="U283" s="26"/>
    </row>
    <row r="284" spans="2:21" x14ac:dyDescent="0.3">
      <c r="B284" s="53"/>
      <c r="C284" s="65"/>
      <c r="D284" s="61"/>
      <c r="E284" s="56"/>
      <c r="F284" s="53"/>
      <c r="G284" s="53" t="str">
        <f>IF(ISBLANK(Acciones!$H284)=TRUE," ",WEEKNUM(Acciones!$H284,21))</f>
        <v xml:space="preserve"> </v>
      </c>
      <c r="H284" s="53"/>
      <c r="I284" s="66"/>
      <c r="J284" s="53"/>
      <c r="K284" s="48" t="str">
        <f ca="1">IF(AND(ISBLANK(Acciones!$D284)=FALSE,ISBLANK(Acciones!$H284)=TRUE),"Faltan fechas",IF(Acciones!$H284="","",IF(AND(Acciones!$H284&gt;=TODAY(),ISBLANK(Acciones!$J284)=TRUE),"En tiempo",IF(AND(Acciones!$H284&lt;TODAY(),Acciones!$J284=""),"Retrasado",IF(Acciones!$J284&gt;Acciones!$H284,"Cerrado con retraso","Cerrado")))))</f>
        <v/>
      </c>
      <c r="L284" s="61"/>
      <c r="M284" s="74"/>
      <c r="T284" s="26"/>
      <c r="U284" s="26"/>
    </row>
    <row r="285" spans="2:21" x14ac:dyDescent="0.3">
      <c r="B285" s="53"/>
      <c r="C285" s="65"/>
      <c r="D285" s="61"/>
      <c r="E285" s="56"/>
      <c r="F285" s="53"/>
      <c r="G285" s="53" t="str">
        <f>IF(ISBLANK(Acciones!$H285)=TRUE," ",WEEKNUM(Acciones!$H285,21))</f>
        <v xml:space="preserve"> </v>
      </c>
      <c r="H285" s="53"/>
      <c r="I285" s="66"/>
      <c r="J285" s="53"/>
      <c r="K285" s="48" t="str">
        <f ca="1">IF(AND(ISBLANK(Acciones!$D285)=FALSE,ISBLANK(Acciones!$H285)=TRUE),"Faltan fechas",IF(Acciones!$H285="","",IF(AND(Acciones!$H285&gt;=TODAY(),ISBLANK(Acciones!$J285)=TRUE),"En tiempo",IF(AND(Acciones!$H285&lt;TODAY(),Acciones!$J285=""),"Retrasado",IF(Acciones!$J285&gt;Acciones!$H285,"Cerrado con retraso","Cerrado")))))</f>
        <v/>
      </c>
      <c r="L285" s="61"/>
      <c r="M285" s="74"/>
      <c r="T285" s="26"/>
      <c r="U285" s="26"/>
    </row>
    <row r="286" spans="2:21" x14ac:dyDescent="0.3">
      <c r="B286" s="53"/>
      <c r="C286" s="65"/>
      <c r="D286" s="61"/>
      <c r="E286" s="56"/>
      <c r="F286" s="53"/>
      <c r="G286" s="53" t="str">
        <f>IF(ISBLANK(Acciones!$H286)=TRUE," ",WEEKNUM(Acciones!$H286,21))</f>
        <v xml:space="preserve"> </v>
      </c>
      <c r="H286" s="53"/>
      <c r="I286" s="66"/>
      <c r="J286" s="53"/>
      <c r="K286" s="48" t="str">
        <f ca="1">IF(AND(ISBLANK(Acciones!$D286)=FALSE,ISBLANK(Acciones!$H286)=TRUE),"Faltan fechas",IF(Acciones!$H286="","",IF(AND(Acciones!$H286&gt;=TODAY(),ISBLANK(Acciones!$J286)=TRUE),"En tiempo",IF(AND(Acciones!$H286&lt;TODAY(),Acciones!$J286=""),"Retrasado",IF(Acciones!$J286&gt;Acciones!$H286,"Cerrado con retraso","Cerrado")))))</f>
        <v/>
      </c>
      <c r="L286" s="61"/>
      <c r="M286" s="74"/>
      <c r="T286" s="26"/>
      <c r="U286" s="26"/>
    </row>
    <row r="287" spans="2:21" x14ac:dyDescent="0.3">
      <c r="B287" s="53"/>
      <c r="C287" s="65"/>
      <c r="D287" s="61"/>
      <c r="E287" s="56"/>
      <c r="F287" s="53"/>
      <c r="G287" s="53" t="str">
        <f>IF(ISBLANK(Acciones!$H287)=TRUE," ",WEEKNUM(Acciones!$H287,21))</f>
        <v xml:space="preserve"> </v>
      </c>
      <c r="H287" s="53"/>
      <c r="I287" s="66"/>
      <c r="J287" s="53"/>
      <c r="K287" s="48" t="str">
        <f ca="1">IF(AND(ISBLANK(Acciones!$D287)=FALSE,ISBLANK(Acciones!$H287)=TRUE),"Faltan fechas",IF(Acciones!$H287="","",IF(AND(Acciones!$H287&gt;=TODAY(),ISBLANK(Acciones!$J287)=TRUE),"En tiempo",IF(AND(Acciones!$H287&lt;TODAY(),Acciones!$J287=""),"Retrasado",IF(Acciones!$J287&gt;Acciones!$H287,"Cerrado con retraso","Cerrado")))))</f>
        <v/>
      </c>
      <c r="L287" s="61"/>
      <c r="M287" s="74"/>
      <c r="T287" s="26"/>
      <c r="U287" s="26"/>
    </row>
    <row r="288" spans="2:21" x14ac:dyDescent="0.3">
      <c r="B288" s="53"/>
      <c r="C288" s="65"/>
      <c r="D288" s="61"/>
      <c r="E288" s="56"/>
      <c r="F288" s="53"/>
      <c r="G288" s="53" t="str">
        <f>IF(ISBLANK(Acciones!$H288)=TRUE," ",WEEKNUM(Acciones!$H288,21))</f>
        <v xml:space="preserve"> </v>
      </c>
      <c r="H288" s="53"/>
      <c r="I288" s="66"/>
      <c r="J288" s="53"/>
      <c r="K288" s="48" t="str">
        <f ca="1">IF(AND(ISBLANK(Acciones!$D288)=FALSE,ISBLANK(Acciones!$H288)=TRUE),"Faltan fechas",IF(Acciones!$H288="","",IF(AND(Acciones!$H288&gt;=TODAY(),ISBLANK(Acciones!$J288)=TRUE),"En tiempo",IF(AND(Acciones!$H288&lt;TODAY(),Acciones!$J288=""),"Retrasado",IF(Acciones!$J288&gt;Acciones!$H288,"Cerrado con retraso","Cerrado")))))</f>
        <v/>
      </c>
      <c r="L288" s="61"/>
      <c r="M288" s="74"/>
      <c r="T288" s="26"/>
      <c r="U288" s="26"/>
    </row>
    <row r="289" spans="2:21" x14ac:dyDescent="0.3">
      <c r="B289" s="53"/>
      <c r="C289" s="65"/>
      <c r="D289" s="61"/>
      <c r="E289" s="56"/>
      <c r="F289" s="53"/>
      <c r="G289" s="53" t="str">
        <f>IF(ISBLANK(Acciones!$H289)=TRUE," ",WEEKNUM(Acciones!$H289,21))</f>
        <v xml:space="preserve"> </v>
      </c>
      <c r="H289" s="53"/>
      <c r="I289" s="66"/>
      <c r="J289" s="53"/>
      <c r="K289" s="48" t="str">
        <f ca="1">IF(AND(ISBLANK(Acciones!$D289)=FALSE,ISBLANK(Acciones!$H289)=TRUE),"Faltan fechas",IF(Acciones!$H289="","",IF(AND(Acciones!$H289&gt;=TODAY(),ISBLANK(Acciones!$J289)=TRUE),"En tiempo",IF(AND(Acciones!$H289&lt;TODAY(),Acciones!$J289=""),"Retrasado",IF(Acciones!$J289&gt;Acciones!$H289,"Cerrado con retraso","Cerrado")))))</f>
        <v/>
      </c>
      <c r="L289" s="61"/>
      <c r="M289" s="74"/>
      <c r="T289" s="26"/>
      <c r="U289" s="26"/>
    </row>
    <row r="290" spans="2:21" x14ac:dyDescent="0.3">
      <c r="B290" s="53"/>
      <c r="C290" s="65"/>
      <c r="D290" s="61"/>
      <c r="E290" s="56"/>
      <c r="F290" s="53"/>
      <c r="G290" s="53" t="str">
        <f>IF(ISBLANK(Acciones!$H290)=TRUE," ",WEEKNUM(Acciones!$H290,21))</f>
        <v xml:space="preserve"> </v>
      </c>
      <c r="H290" s="53"/>
      <c r="I290" s="66"/>
      <c r="J290" s="53"/>
      <c r="K290" s="48" t="str">
        <f ca="1">IF(AND(ISBLANK(Acciones!$D290)=FALSE,ISBLANK(Acciones!$H290)=TRUE),"Faltan fechas",IF(Acciones!$H290="","",IF(AND(Acciones!$H290&gt;=TODAY(),ISBLANK(Acciones!$J290)=TRUE),"En tiempo",IF(AND(Acciones!$H290&lt;TODAY(),Acciones!$J290=""),"Retrasado",IF(Acciones!$J290&gt;Acciones!$H290,"Cerrado con retraso","Cerrado")))))</f>
        <v/>
      </c>
      <c r="L290" s="61"/>
      <c r="M290" s="74"/>
      <c r="T290" s="26"/>
      <c r="U290" s="26"/>
    </row>
    <row r="291" spans="2:21" x14ac:dyDescent="0.3">
      <c r="B291" s="53"/>
      <c r="C291" s="65"/>
      <c r="D291" s="61"/>
      <c r="E291" s="56"/>
      <c r="F291" s="53"/>
      <c r="G291" s="53" t="str">
        <f>IF(ISBLANK(Acciones!$H291)=TRUE," ",WEEKNUM(Acciones!$H291,21))</f>
        <v xml:space="preserve"> </v>
      </c>
      <c r="H291" s="53"/>
      <c r="I291" s="66"/>
      <c r="J291" s="53"/>
      <c r="K291" s="48" t="str">
        <f ca="1">IF(AND(ISBLANK(Acciones!$D291)=FALSE,ISBLANK(Acciones!$H291)=TRUE),"Faltan fechas",IF(Acciones!$H291="","",IF(AND(Acciones!$H291&gt;=TODAY(),ISBLANK(Acciones!$J291)=TRUE),"En tiempo",IF(AND(Acciones!$H291&lt;TODAY(),Acciones!$J291=""),"Retrasado",IF(Acciones!$J291&gt;Acciones!$H291,"Cerrado con retraso","Cerrado")))))</f>
        <v/>
      </c>
      <c r="L291" s="61"/>
      <c r="M291" s="74"/>
      <c r="T291" s="26"/>
      <c r="U291" s="26"/>
    </row>
    <row r="292" spans="2:21" x14ac:dyDescent="0.3">
      <c r="B292" s="53"/>
      <c r="C292" s="65"/>
      <c r="D292" s="61"/>
      <c r="E292" s="56"/>
      <c r="F292" s="53"/>
      <c r="G292" s="53" t="str">
        <f>IF(ISBLANK(Acciones!$H292)=TRUE," ",WEEKNUM(Acciones!$H292,21))</f>
        <v xml:space="preserve"> </v>
      </c>
      <c r="H292" s="53"/>
      <c r="I292" s="66"/>
      <c r="J292" s="53"/>
      <c r="K292" s="48" t="str">
        <f ca="1">IF(AND(ISBLANK(Acciones!$D292)=FALSE,ISBLANK(Acciones!$H292)=TRUE),"Faltan fechas",IF(Acciones!$H292="","",IF(AND(Acciones!$H292&gt;=TODAY(),ISBLANK(Acciones!$J292)=TRUE),"En tiempo",IF(AND(Acciones!$H292&lt;TODAY(),Acciones!$J292=""),"Retrasado",IF(Acciones!$J292&gt;Acciones!$H292,"Cerrado con retraso","Cerrado")))))</f>
        <v/>
      </c>
      <c r="L292" s="61"/>
      <c r="M292" s="74"/>
      <c r="T292" s="26"/>
      <c r="U292" s="26"/>
    </row>
    <row r="293" spans="2:21" x14ac:dyDescent="0.3">
      <c r="B293" s="53"/>
      <c r="C293" s="65"/>
      <c r="D293" s="61"/>
      <c r="E293" s="56"/>
      <c r="F293" s="53"/>
      <c r="G293" s="53" t="str">
        <f>IF(ISBLANK(Acciones!$H293)=TRUE," ",WEEKNUM(Acciones!$H293,21))</f>
        <v xml:space="preserve"> </v>
      </c>
      <c r="H293" s="53"/>
      <c r="I293" s="66"/>
      <c r="J293" s="53"/>
      <c r="K293" s="48" t="str">
        <f ca="1">IF(AND(ISBLANK(Acciones!$D293)=FALSE,ISBLANK(Acciones!$H293)=TRUE),"Faltan fechas",IF(Acciones!$H293="","",IF(AND(Acciones!$H293&gt;=TODAY(),ISBLANK(Acciones!$J293)=TRUE),"En tiempo",IF(AND(Acciones!$H293&lt;TODAY(),Acciones!$J293=""),"Retrasado",IF(Acciones!$J293&gt;Acciones!$H293,"Cerrado con retraso","Cerrado")))))</f>
        <v/>
      </c>
      <c r="L293" s="61"/>
      <c r="M293" s="74"/>
      <c r="T293" s="26"/>
      <c r="U293" s="26"/>
    </row>
    <row r="294" spans="2:21" x14ac:dyDescent="0.3">
      <c r="B294" s="53"/>
      <c r="C294" s="65"/>
      <c r="D294" s="61"/>
      <c r="E294" s="56"/>
      <c r="F294" s="53"/>
      <c r="G294" s="53" t="str">
        <f>IF(ISBLANK(Acciones!$H294)=TRUE," ",WEEKNUM(Acciones!$H294,21))</f>
        <v xml:space="preserve"> </v>
      </c>
      <c r="H294" s="53"/>
      <c r="I294" s="66"/>
      <c r="J294" s="53"/>
      <c r="K294" s="48" t="str">
        <f ca="1">IF(AND(ISBLANK(Acciones!$D294)=FALSE,ISBLANK(Acciones!$H294)=TRUE),"Faltan fechas",IF(Acciones!$H294="","",IF(AND(Acciones!$H294&gt;=TODAY(),ISBLANK(Acciones!$J294)=TRUE),"En tiempo",IF(AND(Acciones!$H294&lt;TODAY(),Acciones!$J294=""),"Retrasado",IF(Acciones!$J294&gt;Acciones!$H294,"Cerrado con retraso","Cerrado")))))</f>
        <v/>
      </c>
      <c r="L294" s="61"/>
      <c r="M294" s="74"/>
      <c r="T294" s="26"/>
      <c r="U294" s="26"/>
    </row>
    <row r="295" spans="2:21" x14ac:dyDescent="0.3">
      <c r="B295" s="53"/>
      <c r="C295" s="65"/>
      <c r="D295" s="61"/>
      <c r="E295" s="56"/>
      <c r="F295" s="53"/>
      <c r="G295" s="53" t="str">
        <f>IF(ISBLANK(Acciones!$H295)=TRUE," ",WEEKNUM(Acciones!$H295,21))</f>
        <v xml:space="preserve"> </v>
      </c>
      <c r="H295" s="53"/>
      <c r="I295" s="66"/>
      <c r="J295" s="53"/>
      <c r="K295" s="48" t="str">
        <f ca="1">IF(AND(ISBLANK(Acciones!$D295)=FALSE,ISBLANK(Acciones!$H295)=TRUE),"Faltan fechas",IF(Acciones!$H295="","",IF(AND(Acciones!$H295&gt;=TODAY(),ISBLANK(Acciones!$J295)=TRUE),"En tiempo",IF(AND(Acciones!$H295&lt;TODAY(),Acciones!$J295=""),"Retrasado",IF(Acciones!$J295&gt;Acciones!$H295,"Cerrado con retraso","Cerrado")))))</f>
        <v/>
      </c>
      <c r="L295" s="61"/>
      <c r="M295" s="74"/>
      <c r="T295" s="26"/>
      <c r="U295" s="26"/>
    </row>
    <row r="296" spans="2:21" x14ac:dyDescent="0.3">
      <c r="B296" s="53"/>
      <c r="C296" s="65"/>
      <c r="D296" s="61"/>
      <c r="E296" s="56"/>
      <c r="F296" s="53"/>
      <c r="G296" s="53" t="str">
        <f>IF(ISBLANK(Acciones!$H296)=TRUE," ",WEEKNUM(Acciones!$H296,21))</f>
        <v xml:space="preserve"> </v>
      </c>
      <c r="H296" s="53"/>
      <c r="I296" s="66"/>
      <c r="J296" s="53"/>
      <c r="K296" s="48" t="str">
        <f ca="1">IF(AND(ISBLANK(Acciones!$D296)=FALSE,ISBLANK(Acciones!$H296)=TRUE),"Faltan fechas",IF(Acciones!$H296="","",IF(AND(Acciones!$H296&gt;=TODAY(),ISBLANK(Acciones!$J296)=TRUE),"En tiempo",IF(AND(Acciones!$H296&lt;TODAY(),Acciones!$J296=""),"Retrasado",IF(Acciones!$J296&gt;Acciones!$H296,"Cerrado con retraso","Cerrado")))))</f>
        <v/>
      </c>
      <c r="L296" s="61"/>
      <c r="M296" s="74"/>
      <c r="T296" s="26"/>
      <c r="U296" s="26"/>
    </row>
    <row r="297" spans="2:21" x14ac:dyDescent="0.3">
      <c r="B297" s="53"/>
      <c r="C297" s="65"/>
      <c r="D297" s="61"/>
      <c r="E297" s="56"/>
      <c r="F297" s="53"/>
      <c r="G297" s="53" t="str">
        <f>IF(ISBLANK(Acciones!$H297)=TRUE," ",WEEKNUM(Acciones!$H297,21))</f>
        <v xml:space="preserve"> </v>
      </c>
      <c r="H297" s="53"/>
      <c r="I297" s="66"/>
      <c r="J297" s="53"/>
      <c r="K297" s="48" t="str">
        <f ca="1">IF(AND(ISBLANK(Acciones!$D297)=FALSE,ISBLANK(Acciones!$H297)=TRUE),"Faltan fechas",IF(Acciones!$H297="","",IF(AND(Acciones!$H297&gt;=TODAY(),ISBLANK(Acciones!$J297)=TRUE),"En tiempo",IF(AND(Acciones!$H297&lt;TODAY(),Acciones!$J297=""),"Retrasado",IF(Acciones!$J297&gt;Acciones!$H297,"Cerrado con retraso","Cerrado")))))</f>
        <v/>
      </c>
      <c r="L297" s="61"/>
      <c r="M297" s="74"/>
      <c r="T297" s="26"/>
      <c r="U297" s="26"/>
    </row>
    <row r="298" spans="2:21" x14ac:dyDescent="0.3">
      <c r="B298" s="53"/>
      <c r="C298" s="65"/>
      <c r="D298" s="61"/>
      <c r="E298" s="56"/>
      <c r="F298" s="53"/>
      <c r="G298" s="53" t="str">
        <f>IF(ISBLANK(Acciones!$H298)=TRUE," ",WEEKNUM(Acciones!$H298,21))</f>
        <v xml:space="preserve"> </v>
      </c>
      <c r="H298" s="53"/>
      <c r="I298" s="66"/>
      <c r="J298" s="53"/>
      <c r="K298" s="48" t="str">
        <f ca="1">IF(AND(ISBLANK(Acciones!$D298)=FALSE,ISBLANK(Acciones!$H298)=TRUE),"Faltan fechas",IF(Acciones!$H298="","",IF(AND(Acciones!$H298&gt;=TODAY(),ISBLANK(Acciones!$J298)=TRUE),"En tiempo",IF(AND(Acciones!$H298&lt;TODAY(),Acciones!$J298=""),"Retrasado",IF(Acciones!$J298&gt;Acciones!$H298,"Cerrado con retraso","Cerrado")))))</f>
        <v/>
      </c>
      <c r="L298" s="61"/>
      <c r="M298" s="74"/>
      <c r="T298" s="26"/>
      <c r="U298" s="26"/>
    </row>
    <row r="299" spans="2:21" x14ac:dyDescent="0.3">
      <c r="B299" s="53"/>
      <c r="C299" s="65"/>
      <c r="D299" s="61"/>
      <c r="E299" s="56"/>
      <c r="F299" s="53"/>
      <c r="G299" s="53" t="str">
        <f>IF(ISBLANK(Acciones!$H299)=TRUE," ",WEEKNUM(Acciones!$H299,21))</f>
        <v xml:space="preserve"> </v>
      </c>
      <c r="H299" s="53"/>
      <c r="I299" s="66"/>
      <c r="J299" s="53"/>
      <c r="K299" s="48" t="str">
        <f ca="1">IF(AND(ISBLANK(Acciones!$D299)=FALSE,ISBLANK(Acciones!$H299)=TRUE),"Faltan fechas",IF(Acciones!$H299="","",IF(AND(Acciones!$H299&gt;=TODAY(),ISBLANK(Acciones!$J299)=TRUE),"En tiempo",IF(AND(Acciones!$H299&lt;TODAY(),Acciones!$J299=""),"Retrasado",IF(Acciones!$J299&gt;Acciones!$H299,"Cerrado con retraso","Cerrado")))))</f>
        <v/>
      </c>
      <c r="L299" s="61"/>
      <c r="M299" s="74"/>
      <c r="T299" s="26"/>
      <c r="U299" s="26"/>
    </row>
    <row r="300" spans="2:21" x14ac:dyDescent="0.3">
      <c r="B300" s="53"/>
      <c r="C300" s="65"/>
      <c r="D300" s="61"/>
      <c r="E300" s="56"/>
      <c r="F300" s="53"/>
      <c r="G300" s="53" t="str">
        <f>IF(ISBLANK(Acciones!$H300)=TRUE," ",WEEKNUM(Acciones!$H300,21))</f>
        <v xml:space="preserve"> </v>
      </c>
      <c r="H300" s="53"/>
      <c r="I300" s="66"/>
      <c r="J300" s="53"/>
      <c r="K300" s="48" t="str">
        <f ca="1">IF(AND(ISBLANK(Acciones!$D300)=FALSE,ISBLANK(Acciones!$H300)=TRUE),"Faltan fechas",IF(Acciones!$H300="","",IF(AND(Acciones!$H300&gt;=TODAY(),ISBLANK(Acciones!$J300)=TRUE),"En tiempo",IF(AND(Acciones!$H300&lt;TODAY(),Acciones!$J300=""),"Retrasado",IF(Acciones!$J300&gt;Acciones!$H300,"Cerrado con retraso","Cerrado")))))</f>
        <v/>
      </c>
      <c r="L300" s="61"/>
      <c r="M300" s="74"/>
      <c r="T300" s="26"/>
      <c r="U300" s="26"/>
    </row>
    <row r="301" spans="2:21" x14ac:dyDescent="0.3">
      <c r="B301" s="53"/>
      <c r="C301" s="65"/>
      <c r="D301" s="61"/>
      <c r="E301" s="56"/>
      <c r="F301" s="53"/>
      <c r="G301" s="53" t="str">
        <f>IF(ISBLANK(Acciones!$H301)=TRUE," ",WEEKNUM(Acciones!$H301,21))</f>
        <v xml:space="preserve"> </v>
      </c>
      <c r="H301" s="53"/>
      <c r="I301" s="66"/>
      <c r="J301" s="53"/>
      <c r="K301" s="48" t="str">
        <f ca="1">IF(AND(ISBLANK(Acciones!$D301)=FALSE,ISBLANK(Acciones!$H301)=TRUE),"Faltan fechas",IF(Acciones!$H301="","",IF(AND(Acciones!$H301&gt;=TODAY(),ISBLANK(Acciones!$J301)=TRUE),"En tiempo",IF(AND(Acciones!$H301&lt;TODAY(),Acciones!$J301=""),"Retrasado",IF(Acciones!$J301&gt;Acciones!$H301,"Cerrado con retraso","Cerrado")))))</f>
        <v/>
      </c>
      <c r="L301" s="61"/>
      <c r="M301" s="74"/>
      <c r="T301" s="26"/>
      <c r="U301" s="26"/>
    </row>
    <row r="302" spans="2:21" x14ac:dyDescent="0.3">
      <c r="B302" s="53"/>
      <c r="C302" s="65"/>
      <c r="D302" s="61"/>
      <c r="E302" s="56"/>
      <c r="F302" s="53"/>
      <c r="G302" s="53" t="str">
        <f>IF(ISBLANK(Acciones!$H302)=TRUE," ",WEEKNUM(Acciones!$H302,21))</f>
        <v xml:space="preserve"> </v>
      </c>
      <c r="H302" s="53"/>
      <c r="I302" s="66"/>
      <c r="J302" s="53"/>
      <c r="K302" s="48" t="str">
        <f ca="1">IF(AND(ISBLANK(Acciones!$D302)=FALSE,ISBLANK(Acciones!$H302)=TRUE),"Faltan fechas",IF(Acciones!$H302="","",IF(AND(Acciones!$H302&gt;=TODAY(),ISBLANK(Acciones!$J302)=TRUE),"En tiempo",IF(AND(Acciones!$H302&lt;TODAY(),Acciones!$J302=""),"Retrasado",IF(Acciones!$J302&gt;Acciones!$H302,"Cerrado con retraso","Cerrado")))))</f>
        <v/>
      </c>
      <c r="L302" s="61"/>
      <c r="M302" s="74"/>
      <c r="T302" s="26"/>
      <c r="U302" s="26"/>
    </row>
    <row r="303" spans="2:21" x14ac:dyDescent="0.3">
      <c r="B303" s="53"/>
      <c r="C303" s="65"/>
      <c r="D303" s="61"/>
      <c r="E303" s="56"/>
      <c r="F303" s="53"/>
      <c r="G303" s="53" t="str">
        <f>IF(ISBLANK(Acciones!$H303)=TRUE," ",WEEKNUM(Acciones!$H303,21))</f>
        <v xml:space="preserve"> </v>
      </c>
      <c r="H303" s="53"/>
      <c r="I303" s="66"/>
      <c r="J303" s="53"/>
      <c r="K303" s="48" t="str">
        <f ca="1">IF(AND(ISBLANK(Acciones!$D303)=FALSE,ISBLANK(Acciones!$H303)=TRUE),"Faltan fechas",IF(Acciones!$H303="","",IF(AND(Acciones!$H303&gt;=TODAY(),ISBLANK(Acciones!$J303)=TRUE),"En tiempo",IF(AND(Acciones!$H303&lt;TODAY(),Acciones!$J303=""),"Retrasado",IF(Acciones!$J303&gt;Acciones!$H303,"Cerrado con retraso","Cerrado")))))</f>
        <v/>
      </c>
      <c r="L303" s="61"/>
      <c r="M303" s="74"/>
      <c r="T303" s="26"/>
      <c r="U303" s="26"/>
    </row>
    <row r="304" spans="2:21" x14ac:dyDescent="0.3">
      <c r="B304" s="53"/>
      <c r="C304" s="65"/>
      <c r="D304" s="61"/>
      <c r="E304" s="56"/>
      <c r="F304" s="53"/>
      <c r="G304" s="53" t="str">
        <f>IF(ISBLANK(Acciones!$H304)=TRUE," ",WEEKNUM(Acciones!$H304,21))</f>
        <v xml:space="preserve"> </v>
      </c>
      <c r="H304" s="53"/>
      <c r="I304" s="66"/>
      <c r="J304" s="53"/>
      <c r="K304" s="48" t="str">
        <f ca="1">IF(AND(ISBLANK(Acciones!$D304)=FALSE,ISBLANK(Acciones!$H304)=TRUE),"Faltan fechas",IF(Acciones!$H304="","",IF(AND(Acciones!$H304&gt;=TODAY(),ISBLANK(Acciones!$J304)=TRUE),"En tiempo",IF(AND(Acciones!$H304&lt;TODAY(),Acciones!$J304=""),"Retrasado",IF(Acciones!$J304&gt;Acciones!$H304,"Cerrado con retraso","Cerrado")))))</f>
        <v/>
      </c>
      <c r="L304" s="61"/>
      <c r="M304" s="74"/>
      <c r="T304" s="26"/>
      <c r="U304" s="26"/>
    </row>
    <row r="305" spans="2:21" x14ac:dyDescent="0.3">
      <c r="B305" s="53"/>
      <c r="C305" s="65"/>
      <c r="D305" s="61"/>
      <c r="E305" s="56"/>
      <c r="F305" s="53"/>
      <c r="G305" s="53" t="str">
        <f>IF(ISBLANK(Acciones!$H305)=TRUE," ",WEEKNUM(Acciones!$H305,21))</f>
        <v xml:space="preserve"> </v>
      </c>
      <c r="H305" s="53"/>
      <c r="I305" s="66"/>
      <c r="J305" s="53"/>
      <c r="K305" s="48" t="str">
        <f ca="1">IF(AND(ISBLANK(Acciones!$D305)=FALSE,ISBLANK(Acciones!$H305)=TRUE),"Faltan fechas",IF(Acciones!$H305="","",IF(AND(Acciones!$H305&gt;=TODAY(),ISBLANK(Acciones!$J305)=TRUE),"En tiempo",IF(AND(Acciones!$H305&lt;TODAY(),Acciones!$J305=""),"Retrasado",IF(Acciones!$J305&gt;Acciones!$H305,"Cerrado con retraso","Cerrado")))))</f>
        <v/>
      </c>
      <c r="L305" s="61"/>
      <c r="M305" s="74"/>
      <c r="T305" s="26"/>
      <c r="U305" s="26"/>
    </row>
    <row r="306" spans="2:21" x14ac:dyDescent="0.3">
      <c r="B306" s="53"/>
      <c r="C306" s="65"/>
      <c r="D306" s="61"/>
      <c r="E306" s="56"/>
      <c r="F306" s="53"/>
      <c r="G306" s="53" t="str">
        <f>IF(ISBLANK(Acciones!$H306)=TRUE," ",WEEKNUM(Acciones!$H306,21))</f>
        <v xml:space="preserve"> </v>
      </c>
      <c r="H306" s="53"/>
      <c r="I306" s="66"/>
      <c r="J306" s="53"/>
      <c r="K306" s="48" t="str">
        <f ca="1">IF(AND(ISBLANK(Acciones!$D306)=FALSE,ISBLANK(Acciones!$H306)=TRUE),"Faltan fechas",IF(Acciones!$H306="","",IF(AND(Acciones!$H306&gt;=TODAY(),ISBLANK(Acciones!$J306)=TRUE),"En tiempo",IF(AND(Acciones!$H306&lt;TODAY(),Acciones!$J306=""),"Retrasado",IF(Acciones!$J306&gt;Acciones!$H306,"Cerrado con retraso","Cerrado")))))</f>
        <v/>
      </c>
      <c r="L306" s="61"/>
      <c r="M306" s="74"/>
      <c r="T306" s="26"/>
      <c r="U306" s="26"/>
    </row>
    <row r="307" spans="2:21" x14ac:dyDescent="0.3">
      <c r="B307" s="53"/>
      <c r="C307" s="65"/>
      <c r="D307" s="61"/>
      <c r="E307" s="56"/>
      <c r="F307" s="53"/>
      <c r="G307" s="53" t="str">
        <f>IF(ISBLANK(Acciones!$H307)=TRUE," ",WEEKNUM(Acciones!$H307,21))</f>
        <v xml:space="preserve"> </v>
      </c>
      <c r="H307" s="53"/>
      <c r="I307" s="66"/>
      <c r="J307" s="53"/>
      <c r="K307" s="48" t="str">
        <f ca="1">IF(AND(ISBLANK(Acciones!$D307)=FALSE,ISBLANK(Acciones!$H307)=TRUE),"Faltan fechas",IF(Acciones!$H307="","",IF(AND(Acciones!$H307&gt;=TODAY(),ISBLANK(Acciones!$J307)=TRUE),"En tiempo",IF(AND(Acciones!$H307&lt;TODAY(),Acciones!$J307=""),"Retrasado",IF(Acciones!$J307&gt;Acciones!$H307,"Cerrado con retraso","Cerrado")))))</f>
        <v/>
      </c>
      <c r="L307" s="61"/>
      <c r="M307" s="74"/>
      <c r="T307" s="26"/>
      <c r="U307" s="26"/>
    </row>
    <row r="308" spans="2:21" x14ac:dyDescent="0.3">
      <c r="B308" s="53"/>
      <c r="C308" s="65"/>
      <c r="D308" s="61"/>
      <c r="E308" s="56"/>
      <c r="F308" s="53"/>
      <c r="G308" s="53" t="str">
        <f>IF(ISBLANK(Acciones!$H308)=TRUE," ",WEEKNUM(Acciones!$H308,21))</f>
        <v xml:space="preserve"> </v>
      </c>
      <c r="H308" s="53"/>
      <c r="I308" s="66"/>
      <c r="J308" s="53"/>
      <c r="K308" s="48" t="str">
        <f ca="1">IF(AND(ISBLANK(Acciones!$D308)=FALSE,ISBLANK(Acciones!$H308)=TRUE),"Faltan fechas",IF(Acciones!$H308="","",IF(AND(Acciones!$H308&gt;=TODAY(),ISBLANK(Acciones!$J308)=TRUE),"En tiempo",IF(AND(Acciones!$H308&lt;TODAY(),Acciones!$J308=""),"Retrasado",IF(Acciones!$J308&gt;Acciones!$H308,"Cerrado con retraso","Cerrado")))))</f>
        <v/>
      </c>
      <c r="L308" s="61"/>
      <c r="M308" s="74"/>
      <c r="T308" s="26"/>
      <c r="U308" s="26"/>
    </row>
    <row r="309" spans="2:21" x14ac:dyDescent="0.3">
      <c r="B309" s="53"/>
      <c r="C309" s="65"/>
      <c r="D309" s="61"/>
      <c r="E309" s="56"/>
      <c r="F309" s="53"/>
      <c r="G309" s="53" t="str">
        <f>IF(ISBLANK(Acciones!$H309)=TRUE," ",WEEKNUM(Acciones!$H309,21))</f>
        <v xml:space="preserve"> </v>
      </c>
      <c r="H309" s="53"/>
      <c r="I309" s="66"/>
      <c r="J309" s="53"/>
      <c r="K309" s="48" t="str">
        <f ca="1">IF(AND(ISBLANK(Acciones!$D309)=FALSE,ISBLANK(Acciones!$H309)=TRUE),"Faltan fechas",IF(Acciones!$H309="","",IF(AND(Acciones!$H309&gt;=TODAY(),ISBLANK(Acciones!$J309)=TRUE),"En tiempo",IF(AND(Acciones!$H309&lt;TODAY(),Acciones!$J309=""),"Retrasado",IF(Acciones!$J309&gt;Acciones!$H309,"Cerrado con retraso","Cerrado")))))</f>
        <v/>
      </c>
      <c r="L309" s="61"/>
      <c r="M309" s="74"/>
      <c r="T309" s="26"/>
      <c r="U309" s="26"/>
    </row>
    <row r="310" spans="2:21" x14ac:dyDescent="0.3">
      <c r="B310" s="53"/>
      <c r="C310" s="65"/>
      <c r="D310" s="61"/>
      <c r="E310" s="56"/>
      <c r="F310" s="53"/>
      <c r="G310" s="53" t="str">
        <f>IF(ISBLANK(Acciones!$H310)=TRUE," ",WEEKNUM(Acciones!$H310,21))</f>
        <v xml:space="preserve"> </v>
      </c>
      <c r="H310" s="53"/>
      <c r="I310" s="66"/>
      <c r="J310" s="53"/>
      <c r="K310" s="48" t="str">
        <f ca="1">IF(AND(ISBLANK(Acciones!$D310)=FALSE,ISBLANK(Acciones!$H310)=TRUE),"Faltan fechas",IF(Acciones!$H310="","",IF(AND(Acciones!$H310&gt;=TODAY(),ISBLANK(Acciones!$J310)=TRUE),"En tiempo",IF(AND(Acciones!$H310&lt;TODAY(),Acciones!$J310=""),"Retrasado",IF(Acciones!$J310&gt;Acciones!$H310,"Cerrado con retraso","Cerrado")))))</f>
        <v/>
      </c>
      <c r="L310" s="61"/>
      <c r="M310" s="74"/>
      <c r="T310" s="26"/>
      <c r="U310" s="26"/>
    </row>
    <row r="311" spans="2:21" x14ac:dyDescent="0.3">
      <c r="B311" s="53"/>
      <c r="C311" s="65"/>
      <c r="D311" s="61"/>
      <c r="E311" s="56"/>
      <c r="F311" s="53"/>
      <c r="G311" s="53" t="str">
        <f>IF(ISBLANK(Acciones!$H311)=TRUE," ",WEEKNUM(Acciones!$H311,21))</f>
        <v xml:space="preserve"> </v>
      </c>
      <c r="H311" s="53"/>
      <c r="I311" s="66"/>
      <c r="J311" s="53"/>
      <c r="K311" s="48" t="str">
        <f ca="1">IF(AND(ISBLANK(Acciones!$D311)=FALSE,ISBLANK(Acciones!$H311)=TRUE),"Faltan fechas",IF(Acciones!$H311="","",IF(AND(Acciones!$H311&gt;=TODAY(),ISBLANK(Acciones!$J311)=TRUE),"En tiempo",IF(AND(Acciones!$H311&lt;TODAY(),Acciones!$J311=""),"Retrasado",IF(Acciones!$J311&gt;Acciones!$H311,"Cerrado con retraso","Cerrado")))))</f>
        <v/>
      </c>
      <c r="L311" s="61"/>
      <c r="M311" s="74"/>
      <c r="T311" s="26"/>
      <c r="U311" s="26"/>
    </row>
    <row r="312" spans="2:21" x14ac:dyDescent="0.3">
      <c r="B312" s="53"/>
      <c r="C312" s="65"/>
      <c r="D312" s="61"/>
      <c r="E312" s="56"/>
      <c r="F312" s="53"/>
      <c r="G312" s="53" t="str">
        <f>IF(ISBLANK(Acciones!$H312)=TRUE," ",WEEKNUM(Acciones!$H312,21))</f>
        <v xml:space="preserve"> </v>
      </c>
      <c r="H312" s="53"/>
      <c r="I312" s="66"/>
      <c r="J312" s="53"/>
      <c r="K312" s="48" t="str">
        <f ca="1">IF(AND(ISBLANK(Acciones!$D312)=FALSE,ISBLANK(Acciones!$H312)=TRUE),"Faltan fechas",IF(Acciones!$H312="","",IF(AND(Acciones!$H312&gt;=TODAY(),ISBLANK(Acciones!$J312)=TRUE),"En tiempo",IF(AND(Acciones!$H312&lt;TODAY(),Acciones!$J312=""),"Retrasado",IF(Acciones!$J312&gt;Acciones!$H312,"Cerrado con retraso","Cerrado")))))</f>
        <v/>
      </c>
      <c r="L312" s="61"/>
      <c r="M312" s="74"/>
      <c r="T312" s="26"/>
      <c r="U312" s="26"/>
    </row>
    <row r="313" spans="2:21" x14ac:dyDescent="0.3">
      <c r="B313" s="53"/>
      <c r="C313" s="65"/>
      <c r="D313" s="61"/>
      <c r="E313" s="56"/>
      <c r="F313" s="53"/>
      <c r="G313" s="53" t="str">
        <f>IF(ISBLANK(Acciones!$H313)=TRUE," ",WEEKNUM(Acciones!$H313,21))</f>
        <v xml:space="preserve"> </v>
      </c>
      <c r="H313" s="53"/>
      <c r="I313" s="66"/>
      <c r="J313" s="53"/>
      <c r="K313" s="48" t="str">
        <f ca="1">IF(AND(ISBLANK(Acciones!$D313)=FALSE,ISBLANK(Acciones!$H313)=TRUE),"Faltan fechas",IF(Acciones!$H313="","",IF(AND(Acciones!$H313&gt;=TODAY(),ISBLANK(Acciones!$J313)=TRUE),"En tiempo",IF(AND(Acciones!$H313&lt;TODAY(),Acciones!$J313=""),"Retrasado",IF(Acciones!$J313&gt;Acciones!$H313,"Cerrado con retraso","Cerrado")))))</f>
        <v/>
      </c>
      <c r="L313" s="61"/>
      <c r="M313" s="74"/>
      <c r="T313" s="26"/>
      <c r="U313" s="26"/>
    </row>
    <row r="314" spans="2:21" x14ac:dyDescent="0.3">
      <c r="B314" s="53"/>
      <c r="C314" s="65"/>
      <c r="D314" s="61"/>
      <c r="E314" s="56"/>
      <c r="F314" s="53"/>
      <c r="G314" s="53" t="str">
        <f>IF(ISBLANK(Acciones!$H314)=TRUE," ",WEEKNUM(Acciones!$H314,21))</f>
        <v xml:space="preserve"> </v>
      </c>
      <c r="H314" s="53"/>
      <c r="I314" s="66"/>
      <c r="J314" s="53"/>
      <c r="K314" s="48" t="str">
        <f ca="1">IF(AND(ISBLANK(Acciones!$D314)=FALSE,ISBLANK(Acciones!$H314)=TRUE),"Faltan fechas",IF(Acciones!$H314="","",IF(AND(Acciones!$H314&gt;=TODAY(),ISBLANK(Acciones!$J314)=TRUE),"En tiempo",IF(AND(Acciones!$H314&lt;TODAY(),Acciones!$J314=""),"Retrasado",IF(Acciones!$J314&gt;Acciones!$H314,"Cerrado con retraso","Cerrado")))))</f>
        <v/>
      </c>
      <c r="L314" s="61"/>
      <c r="M314" s="74"/>
      <c r="T314" s="26"/>
      <c r="U314" s="26"/>
    </row>
    <row r="315" spans="2:21" x14ac:dyDescent="0.3">
      <c r="B315" s="53"/>
      <c r="C315" s="65"/>
      <c r="D315" s="61"/>
      <c r="E315" s="56"/>
      <c r="F315" s="53"/>
      <c r="G315" s="53" t="str">
        <f>IF(ISBLANK(Acciones!$H315)=TRUE," ",WEEKNUM(Acciones!$H315,21))</f>
        <v xml:space="preserve"> </v>
      </c>
      <c r="H315" s="53"/>
      <c r="I315" s="66"/>
      <c r="J315" s="53"/>
      <c r="K315" s="48" t="str">
        <f ca="1">IF(AND(ISBLANK(Acciones!$D315)=FALSE,ISBLANK(Acciones!$H315)=TRUE),"Faltan fechas",IF(Acciones!$H315="","",IF(AND(Acciones!$H315&gt;=TODAY(),ISBLANK(Acciones!$J315)=TRUE),"En tiempo",IF(AND(Acciones!$H315&lt;TODAY(),Acciones!$J315=""),"Retrasado",IF(Acciones!$J315&gt;Acciones!$H315,"Cerrado con retraso","Cerrado")))))</f>
        <v/>
      </c>
      <c r="L315" s="61"/>
      <c r="M315" s="74"/>
      <c r="T315" s="26"/>
      <c r="U315" s="26"/>
    </row>
    <row r="316" spans="2:21" x14ac:dyDescent="0.3">
      <c r="B316" s="53"/>
      <c r="C316" s="65"/>
      <c r="D316" s="61"/>
      <c r="E316" s="56"/>
      <c r="F316" s="53"/>
      <c r="G316" s="53" t="str">
        <f>IF(ISBLANK(Acciones!$H316)=TRUE," ",WEEKNUM(Acciones!$H316,21))</f>
        <v xml:space="preserve"> </v>
      </c>
      <c r="H316" s="53"/>
      <c r="I316" s="66"/>
      <c r="J316" s="53"/>
      <c r="K316" s="48" t="str">
        <f ca="1">IF(AND(ISBLANK(Acciones!$D316)=FALSE,ISBLANK(Acciones!$H316)=TRUE),"Faltan fechas",IF(Acciones!$H316="","",IF(AND(Acciones!$H316&gt;=TODAY(),ISBLANK(Acciones!$J316)=TRUE),"En tiempo",IF(AND(Acciones!$H316&lt;TODAY(),Acciones!$J316=""),"Retrasado",IF(Acciones!$J316&gt;Acciones!$H316,"Cerrado con retraso","Cerrado")))))</f>
        <v/>
      </c>
      <c r="L316" s="61"/>
      <c r="M316" s="74"/>
      <c r="T316" s="26"/>
      <c r="U316" s="26"/>
    </row>
    <row r="317" spans="2:21" x14ac:dyDescent="0.3">
      <c r="B317" s="53"/>
      <c r="C317" s="65"/>
      <c r="D317" s="61"/>
      <c r="E317" s="56"/>
      <c r="F317" s="53"/>
      <c r="G317" s="53" t="str">
        <f>IF(ISBLANK(Acciones!$H317)=TRUE," ",WEEKNUM(Acciones!$H317,21))</f>
        <v xml:space="preserve"> </v>
      </c>
      <c r="H317" s="53"/>
      <c r="I317" s="66"/>
      <c r="J317" s="53"/>
      <c r="K317" s="48" t="str">
        <f ca="1">IF(AND(ISBLANK(Acciones!$D317)=FALSE,ISBLANK(Acciones!$H317)=TRUE),"Faltan fechas",IF(Acciones!$H317="","",IF(AND(Acciones!$H317&gt;=TODAY(),ISBLANK(Acciones!$J317)=TRUE),"En tiempo",IF(AND(Acciones!$H317&lt;TODAY(),Acciones!$J317=""),"Retrasado",IF(Acciones!$J317&gt;Acciones!$H317,"Cerrado con retraso","Cerrado")))))</f>
        <v/>
      </c>
      <c r="L317" s="61"/>
      <c r="M317" s="74"/>
      <c r="T317" s="26"/>
      <c r="U317" s="26"/>
    </row>
    <row r="318" spans="2:21" x14ac:dyDescent="0.3">
      <c r="B318" s="53"/>
      <c r="C318" s="65"/>
      <c r="D318" s="61"/>
      <c r="E318" s="56"/>
      <c r="F318" s="53"/>
      <c r="G318" s="53" t="str">
        <f>IF(ISBLANK(Acciones!$H318)=TRUE," ",WEEKNUM(Acciones!$H318,21))</f>
        <v xml:space="preserve"> </v>
      </c>
      <c r="H318" s="53"/>
      <c r="I318" s="66"/>
      <c r="J318" s="53"/>
      <c r="K318" s="48" t="str">
        <f ca="1">IF(AND(ISBLANK(Acciones!$D318)=FALSE,ISBLANK(Acciones!$H318)=TRUE),"Faltan fechas",IF(Acciones!$H318="","",IF(AND(Acciones!$H318&gt;=TODAY(),ISBLANK(Acciones!$J318)=TRUE),"En tiempo",IF(AND(Acciones!$H318&lt;TODAY(),Acciones!$J318=""),"Retrasado",IF(Acciones!$J318&gt;Acciones!$H318,"Cerrado con retraso","Cerrado")))))</f>
        <v/>
      </c>
      <c r="L318" s="61"/>
      <c r="M318" s="74"/>
      <c r="T318" s="26"/>
      <c r="U318" s="26"/>
    </row>
    <row r="319" spans="2:21" x14ac:dyDescent="0.3">
      <c r="B319" s="53"/>
      <c r="C319" s="65"/>
      <c r="D319" s="61"/>
      <c r="E319" s="56"/>
      <c r="F319" s="53"/>
      <c r="G319" s="53" t="str">
        <f>IF(ISBLANK(Acciones!$H319)=TRUE," ",WEEKNUM(Acciones!$H319,21))</f>
        <v xml:space="preserve"> </v>
      </c>
      <c r="H319" s="53"/>
      <c r="I319" s="66"/>
      <c r="J319" s="53"/>
      <c r="K319" s="48" t="str">
        <f ca="1">IF(AND(ISBLANK(Acciones!$D319)=FALSE,ISBLANK(Acciones!$H319)=TRUE),"Faltan fechas",IF(Acciones!$H319="","",IF(AND(Acciones!$H319&gt;=TODAY(),ISBLANK(Acciones!$J319)=TRUE),"En tiempo",IF(AND(Acciones!$H319&lt;TODAY(),Acciones!$J319=""),"Retrasado",IF(Acciones!$J319&gt;Acciones!$H319,"Cerrado con retraso","Cerrado")))))</f>
        <v/>
      </c>
      <c r="L319" s="61"/>
      <c r="M319" s="74"/>
      <c r="T319" s="26"/>
      <c r="U319" s="26"/>
    </row>
    <row r="320" spans="2:21" x14ac:dyDescent="0.3">
      <c r="B320" s="53"/>
      <c r="C320" s="65"/>
      <c r="D320" s="61"/>
      <c r="E320" s="56"/>
      <c r="F320" s="53"/>
      <c r="G320" s="53" t="str">
        <f>IF(ISBLANK(Acciones!$H320)=TRUE," ",WEEKNUM(Acciones!$H320,21))</f>
        <v xml:space="preserve"> </v>
      </c>
      <c r="H320" s="53"/>
      <c r="I320" s="66"/>
      <c r="J320" s="53"/>
      <c r="K320" s="48" t="str">
        <f ca="1">IF(AND(ISBLANK(Acciones!$D320)=FALSE,ISBLANK(Acciones!$H320)=TRUE),"Faltan fechas",IF(Acciones!$H320="","",IF(AND(Acciones!$H320&gt;=TODAY(),ISBLANK(Acciones!$J320)=TRUE),"En tiempo",IF(AND(Acciones!$H320&lt;TODAY(),Acciones!$J320=""),"Retrasado",IF(Acciones!$J320&gt;Acciones!$H320,"Cerrado con retraso","Cerrado")))))</f>
        <v/>
      </c>
      <c r="L320" s="61"/>
      <c r="M320" s="74"/>
      <c r="T320" s="26"/>
      <c r="U320" s="26"/>
    </row>
    <row r="321" spans="2:21" x14ac:dyDescent="0.3">
      <c r="B321" s="53"/>
      <c r="C321" s="65"/>
      <c r="D321" s="61"/>
      <c r="E321" s="56"/>
      <c r="F321" s="53"/>
      <c r="G321" s="53" t="str">
        <f>IF(ISBLANK(Acciones!$H321)=TRUE," ",WEEKNUM(Acciones!$H321,21))</f>
        <v xml:space="preserve"> </v>
      </c>
      <c r="H321" s="53"/>
      <c r="I321" s="66"/>
      <c r="J321" s="53"/>
      <c r="K321" s="48" t="str">
        <f ca="1">IF(AND(ISBLANK(Acciones!$D321)=FALSE,ISBLANK(Acciones!$H321)=TRUE),"Faltan fechas",IF(Acciones!$H321="","",IF(AND(Acciones!$H321&gt;=TODAY(),ISBLANK(Acciones!$J321)=TRUE),"En tiempo",IF(AND(Acciones!$H321&lt;TODAY(),Acciones!$J321=""),"Retrasado",IF(Acciones!$J321&gt;Acciones!$H321,"Cerrado con retraso","Cerrado")))))</f>
        <v/>
      </c>
      <c r="L321" s="61"/>
      <c r="M321" s="74"/>
      <c r="T321" s="26"/>
      <c r="U321" s="26"/>
    </row>
    <row r="322" spans="2:21" x14ac:dyDescent="0.3">
      <c r="B322" s="53"/>
      <c r="C322" s="65"/>
      <c r="D322" s="61"/>
      <c r="E322" s="56"/>
      <c r="F322" s="53"/>
      <c r="G322" s="53" t="str">
        <f>IF(ISBLANK(Acciones!$H322)=TRUE," ",WEEKNUM(Acciones!$H322,21))</f>
        <v xml:space="preserve"> </v>
      </c>
      <c r="H322" s="53"/>
      <c r="I322" s="66"/>
      <c r="J322" s="53"/>
      <c r="K322" s="48" t="str">
        <f ca="1">IF(AND(ISBLANK(Acciones!$D322)=FALSE,ISBLANK(Acciones!$H322)=TRUE),"Faltan fechas",IF(Acciones!$H322="","",IF(AND(Acciones!$H322&gt;=TODAY(),ISBLANK(Acciones!$J322)=TRUE),"En tiempo",IF(AND(Acciones!$H322&lt;TODAY(),Acciones!$J322=""),"Retrasado",IF(Acciones!$J322&gt;Acciones!$H322,"Cerrado con retraso","Cerrado")))))</f>
        <v/>
      </c>
      <c r="L322" s="61"/>
      <c r="M322" s="74"/>
      <c r="T322" s="26"/>
      <c r="U322" s="26"/>
    </row>
    <row r="323" spans="2:21" x14ac:dyDescent="0.3">
      <c r="B323" s="53"/>
      <c r="C323" s="65"/>
      <c r="D323" s="61"/>
      <c r="E323" s="56"/>
      <c r="F323" s="53"/>
      <c r="G323" s="53" t="str">
        <f>IF(ISBLANK(Acciones!$H323)=TRUE," ",WEEKNUM(Acciones!$H323,21))</f>
        <v xml:space="preserve"> </v>
      </c>
      <c r="H323" s="53"/>
      <c r="I323" s="66"/>
      <c r="J323" s="53"/>
      <c r="K323" s="48" t="str">
        <f ca="1">IF(AND(ISBLANK(Acciones!$D323)=FALSE,ISBLANK(Acciones!$H323)=TRUE),"Faltan fechas",IF(Acciones!$H323="","",IF(AND(Acciones!$H323&gt;=TODAY(),ISBLANK(Acciones!$J323)=TRUE),"En tiempo",IF(AND(Acciones!$H323&lt;TODAY(),Acciones!$J323=""),"Retrasado",IF(Acciones!$J323&gt;Acciones!$H323,"Cerrado con retraso","Cerrado")))))</f>
        <v/>
      </c>
      <c r="L323" s="61"/>
      <c r="M323" s="74"/>
      <c r="T323" s="26"/>
      <c r="U323" s="26"/>
    </row>
    <row r="324" spans="2:21" x14ac:dyDescent="0.3">
      <c r="B324" s="53"/>
      <c r="C324" s="65"/>
      <c r="D324" s="61"/>
      <c r="E324" s="56"/>
      <c r="F324" s="53"/>
      <c r="G324" s="53" t="str">
        <f>IF(ISBLANK(Acciones!$H324)=TRUE," ",WEEKNUM(Acciones!$H324,21))</f>
        <v xml:space="preserve"> </v>
      </c>
      <c r="H324" s="53"/>
      <c r="I324" s="66"/>
      <c r="J324" s="53"/>
      <c r="K324" s="48" t="str">
        <f ca="1">IF(AND(ISBLANK(Acciones!$D324)=FALSE,ISBLANK(Acciones!$H324)=TRUE),"Faltan fechas",IF(Acciones!$H324="","",IF(AND(Acciones!$H324&gt;=TODAY(),ISBLANK(Acciones!$J324)=TRUE),"En tiempo",IF(AND(Acciones!$H324&lt;TODAY(),Acciones!$J324=""),"Retrasado",IF(Acciones!$J324&gt;Acciones!$H324,"Cerrado con retraso","Cerrado")))))</f>
        <v/>
      </c>
      <c r="L324" s="61"/>
      <c r="M324" s="74"/>
      <c r="T324" s="26"/>
      <c r="U324" s="26"/>
    </row>
    <row r="325" spans="2:21" x14ac:dyDescent="0.3">
      <c r="B325" s="53"/>
      <c r="C325" s="65"/>
      <c r="D325" s="61"/>
      <c r="E325" s="56"/>
      <c r="F325" s="53"/>
      <c r="G325" s="53" t="str">
        <f>IF(ISBLANK(Acciones!$H325)=TRUE," ",WEEKNUM(Acciones!$H325,21))</f>
        <v xml:space="preserve"> </v>
      </c>
      <c r="H325" s="53"/>
      <c r="I325" s="66"/>
      <c r="J325" s="53"/>
      <c r="K325" s="48" t="str">
        <f ca="1">IF(AND(ISBLANK(Acciones!$D325)=FALSE,ISBLANK(Acciones!$H325)=TRUE),"Faltan fechas",IF(Acciones!$H325="","",IF(AND(Acciones!$H325&gt;=TODAY(),ISBLANK(Acciones!$J325)=TRUE),"En tiempo",IF(AND(Acciones!$H325&lt;TODAY(),Acciones!$J325=""),"Retrasado",IF(Acciones!$J325&gt;Acciones!$H325,"Cerrado con retraso","Cerrado")))))</f>
        <v/>
      </c>
      <c r="L325" s="61"/>
      <c r="M325" s="74"/>
      <c r="T325" s="26"/>
      <c r="U325" s="26"/>
    </row>
    <row r="326" spans="2:21" x14ac:dyDescent="0.3">
      <c r="B326" s="53"/>
      <c r="C326" s="65"/>
      <c r="D326" s="61"/>
      <c r="E326" s="56"/>
      <c r="F326" s="53"/>
      <c r="G326" s="53" t="str">
        <f>IF(ISBLANK(Acciones!$H326)=TRUE," ",WEEKNUM(Acciones!$H326,21))</f>
        <v xml:space="preserve"> </v>
      </c>
      <c r="H326" s="53"/>
      <c r="I326" s="66"/>
      <c r="J326" s="53"/>
      <c r="K326" s="48" t="str">
        <f ca="1">IF(AND(ISBLANK(Acciones!$D326)=FALSE,ISBLANK(Acciones!$H326)=TRUE),"Faltan fechas",IF(Acciones!$H326="","",IF(AND(Acciones!$H326&gt;=TODAY(),ISBLANK(Acciones!$J326)=TRUE),"En tiempo",IF(AND(Acciones!$H326&lt;TODAY(),Acciones!$J326=""),"Retrasado",IF(Acciones!$J326&gt;Acciones!$H326,"Cerrado con retraso","Cerrado")))))</f>
        <v/>
      </c>
      <c r="L326" s="61"/>
      <c r="M326" s="74"/>
      <c r="T326" s="26"/>
      <c r="U326" s="26"/>
    </row>
    <row r="327" spans="2:21" x14ac:dyDescent="0.3">
      <c r="B327" s="53"/>
      <c r="C327" s="65"/>
      <c r="D327" s="61"/>
      <c r="E327" s="56"/>
      <c r="F327" s="53"/>
      <c r="G327" s="53" t="str">
        <f>IF(ISBLANK(Acciones!$H327)=TRUE," ",WEEKNUM(Acciones!$H327,21))</f>
        <v xml:space="preserve"> </v>
      </c>
      <c r="H327" s="53"/>
      <c r="I327" s="66"/>
      <c r="J327" s="53"/>
      <c r="K327" s="48" t="str">
        <f ca="1">IF(AND(ISBLANK(Acciones!$D327)=FALSE,ISBLANK(Acciones!$H327)=TRUE),"Faltan fechas",IF(Acciones!$H327="","",IF(AND(Acciones!$H327&gt;=TODAY(),ISBLANK(Acciones!$J327)=TRUE),"En tiempo",IF(AND(Acciones!$H327&lt;TODAY(),Acciones!$J327=""),"Retrasado",IF(Acciones!$J327&gt;Acciones!$H327,"Cerrado con retraso","Cerrado")))))</f>
        <v/>
      </c>
      <c r="L327" s="61"/>
      <c r="M327" s="74"/>
      <c r="T327" s="26"/>
      <c r="U327" s="26"/>
    </row>
    <row r="328" spans="2:21" x14ac:dyDescent="0.3">
      <c r="B328" s="53"/>
      <c r="C328" s="65"/>
      <c r="D328" s="61"/>
      <c r="E328" s="56"/>
      <c r="F328" s="53"/>
      <c r="G328" s="53" t="str">
        <f>IF(ISBLANK(Acciones!$H328)=TRUE," ",WEEKNUM(Acciones!$H328,21))</f>
        <v xml:space="preserve"> </v>
      </c>
      <c r="H328" s="53"/>
      <c r="I328" s="66"/>
      <c r="J328" s="53"/>
      <c r="K328" s="48" t="str">
        <f ca="1">IF(AND(ISBLANK(Acciones!$D328)=FALSE,ISBLANK(Acciones!$H328)=TRUE),"Faltan fechas",IF(Acciones!$H328="","",IF(AND(Acciones!$H328&gt;=TODAY(),ISBLANK(Acciones!$J328)=TRUE),"En tiempo",IF(AND(Acciones!$H328&lt;TODAY(),Acciones!$J328=""),"Retrasado",IF(Acciones!$J328&gt;Acciones!$H328,"Cerrado con retraso","Cerrado")))))</f>
        <v/>
      </c>
      <c r="L328" s="61"/>
      <c r="M328" s="74"/>
      <c r="T328" s="26"/>
      <c r="U328" s="26"/>
    </row>
    <row r="329" spans="2:21" x14ac:dyDescent="0.3">
      <c r="B329" s="53"/>
      <c r="C329" s="65"/>
      <c r="D329" s="61"/>
      <c r="E329" s="56"/>
      <c r="F329" s="53"/>
      <c r="G329" s="53" t="str">
        <f>IF(ISBLANK(Acciones!$H329)=TRUE," ",WEEKNUM(Acciones!$H329,21))</f>
        <v xml:space="preserve"> </v>
      </c>
      <c r="H329" s="53"/>
      <c r="I329" s="66"/>
      <c r="J329" s="53"/>
      <c r="K329" s="48" t="str">
        <f ca="1">IF(AND(ISBLANK(Acciones!$D329)=FALSE,ISBLANK(Acciones!$H329)=TRUE),"Faltan fechas",IF(Acciones!$H329="","",IF(AND(Acciones!$H329&gt;=TODAY(),ISBLANK(Acciones!$J329)=TRUE),"En tiempo",IF(AND(Acciones!$H329&lt;TODAY(),Acciones!$J329=""),"Retrasado",IF(Acciones!$J329&gt;Acciones!$H329,"Cerrado con retraso","Cerrado")))))</f>
        <v/>
      </c>
      <c r="L329" s="61"/>
      <c r="M329" s="74"/>
      <c r="T329" s="26"/>
      <c r="U329" s="26"/>
    </row>
    <row r="330" spans="2:21" x14ac:dyDescent="0.3">
      <c r="B330" s="53"/>
      <c r="C330" s="65"/>
      <c r="D330" s="61"/>
      <c r="E330" s="56"/>
      <c r="F330" s="53"/>
      <c r="G330" s="53" t="str">
        <f>IF(ISBLANK(Acciones!$H330)=TRUE," ",WEEKNUM(Acciones!$H330,21))</f>
        <v xml:space="preserve"> </v>
      </c>
      <c r="H330" s="53"/>
      <c r="I330" s="66"/>
      <c r="J330" s="53"/>
      <c r="K330" s="48" t="str">
        <f ca="1">IF(AND(ISBLANK(Acciones!$D330)=FALSE,ISBLANK(Acciones!$H330)=TRUE),"Faltan fechas",IF(Acciones!$H330="","",IF(AND(Acciones!$H330&gt;=TODAY(),ISBLANK(Acciones!$J330)=TRUE),"En tiempo",IF(AND(Acciones!$H330&lt;TODAY(),Acciones!$J330=""),"Retrasado",IF(Acciones!$J330&gt;Acciones!$H330,"Cerrado con retraso","Cerrado")))))</f>
        <v/>
      </c>
      <c r="L330" s="61"/>
      <c r="M330" s="74"/>
      <c r="T330" s="26"/>
      <c r="U330" s="26"/>
    </row>
    <row r="331" spans="2:21" x14ac:dyDescent="0.3">
      <c r="B331" s="53"/>
      <c r="C331" s="65"/>
      <c r="D331" s="61"/>
      <c r="E331" s="56"/>
      <c r="F331" s="53"/>
      <c r="G331" s="53" t="str">
        <f>IF(ISBLANK(Acciones!$H331)=TRUE," ",WEEKNUM(Acciones!$H331,21))</f>
        <v xml:space="preserve"> </v>
      </c>
      <c r="H331" s="53"/>
      <c r="I331" s="66"/>
      <c r="J331" s="53"/>
      <c r="K331" s="48" t="str">
        <f ca="1">IF(AND(ISBLANK(Acciones!$D331)=FALSE,ISBLANK(Acciones!$H331)=TRUE),"Faltan fechas",IF(Acciones!$H331="","",IF(AND(Acciones!$H331&gt;=TODAY(),ISBLANK(Acciones!$J331)=TRUE),"En tiempo",IF(AND(Acciones!$H331&lt;TODAY(),Acciones!$J331=""),"Retrasado",IF(Acciones!$J331&gt;Acciones!$H331,"Cerrado con retraso","Cerrado")))))</f>
        <v/>
      </c>
      <c r="L331" s="61"/>
      <c r="M331" s="74"/>
      <c r="T331" s="26"/>
      <c r="U331" s="26"/>
    </row>
    <row r="332" spans="2:21" x14ac:dyDescent="0.3">
      <c r="B332" s="53"/>
      <c r="C332" s="65"/>
      <c r="D332" s="61"/>
      <c r="E332" s="56"/>
      <c r="F332" s="53"/>
      <c r="G332" s="53" t="str">
        <f>IF(ISBLANK(Acciones!$H332)=TRUE," ",WEEKNUM(Acciones!$H332,21))</f>
        <v xml:space="preserve"> </v>
      </c>
      <c r="H332" s="53"/>
      <c r="I332" s="66"/>
      <c r="J332" s="53"/>
      <c r="K332" s="48" t="str">
        <f ca="1">IF(AND(ISBLANK(Acciones!$D332)=FALSE,ISBLANK(Acciones!$H332)=TRUE),"Faltan fechas",IF(Acciones!$H332="","",IF(AND(Acciones!$H332&gt;=TODAY(),ISBLANK(Acciones!$J332)=TRUE),"En tiempo",IF(AND(Acciones!$H332&lt;TODAY(),Acciones!$J332=""),"Retrasado",IF(Acciones!$J332&gt;Acciones!$H332,"Cerrado con retraso","Cerrado")))))</f>
        <v/>
      </c>
      <c r="L332" s="61"/>
      <c r="M332" s="74"/>
      <c r="T332" s="26"/>
      <c r="U332" s="26"/>
    </row>
    <row r="333" spans="2:21" x14ac:dyDescent="0.3">
      <c r="B333" s="53"/>
      <c r="C333" s="65"/>
      <c r="D333" s="61"/>
      <c r="E333" s="56"/>
      <c r="F333" s="53"/>
      <c r="G333" s="53" t="str">
        <f>IF(ISBLANK(Acciones!$H333)=TRUE," ",WEEKNUM(Acciones!$H333,21))</f>
        <v xml:space="preserve"> </v>
      </c>
      <c r="H333" s="53"/>
      <c r="I333" s="66"/>
      <c r="J333" s="53"/>
      <c r="K333" s="48" t="str">
        <f ca="1">IF(AND(ISBLANK(Acciones!$D333)=FALSE,ISBLANK(Acciones!$H333)=TRUE),"Faltan fechas",IF(Acciones!$H333="","",IF(AND(Acciones!$H333&gt;=TODAY(),ISBLANK(Acciones!$J333)=TRUE),"En tiempo",IF(AND(Acciones!$H333&lt;TODAY(),Acciones!$J333=""),"Retrasado",IF(Acciones!$J333&gt;Acciones!$H333,"Cerrado con retraso","Cerrado")))))</f>
        <v/>
      </c>
      <c r="L333" s="61"/>
      <c r="M333" s="74"/>
      <c r="T333" s="26"/>
      <c r="U333" s="26"/>
    </row>
    <row r="334" spans="2:21" x14ac:dyDescent="0.3">
      <c r="B334" s="53"/>
      <c r="C334" s="65"/>
      <c r="D334" s="61"/>
      <c r="E334" s="56"/>
      <c r="F334" s="53"/>
      <c r="G334" s="53" t="str">
        <f>IF(ISBLANK(Acciones!$H334)=TRUE," ",WEEKNUM(Acciones!$H334,21))</f>
        <v xml:space="preserve"> </v>
      </c>
      <c r="H334" s="53"/>
      <c r="I334" s="66"/>
      <c r="J334" s="53"/>
      <c r="K334" s="48" t="str">
        <f ca="1">IF(AND(ISBLANK(Acciones!$D334)=FALSE,ISBLANK(Acciones!$H334)=TRUE),"Faltan fechas",IF(Acciones!$H334="","",IF(AND(Acciones!$H334&gt;=TODAY(),ISBLANK(Acciones!$J334)=TRUE),"En tiempo",IF(AND(Acciones!$H334&lt;TODAY(),Acciones!$J334=""),"Retrasado",IF(Acciones!$J334&gt;Acciones!$H334,"Cerrado con retraso","Cerrado")))))</f>
        <v/>
      </c>
      <c r="L334" s="61"/>
      <c r="M334" s="74"/>
      <c r="T334" s="26"/>
      <c r="U334" s="26"/>
    </row>
    <row r="335" spans="2:21" x14ac:dyDescent="0.3">
      <c r="B335" s="53"/>
      <c r="C335" s="65"/>
      <c r="D335" s="61"/>
      <c r="E335" s="56"/>
      <c r="F335" s="53"/>
      <c r="G335" s="53" t="str">
        <f>IF(ISBLANK(Acciones!$H335)=TRUE," ",WEEKNUM(Acciones!$H335,21))</f>
        <v xml:space="preserve"> </v>
      </c>
      <c r="H335" s="53"/>
      <c r="I335" s="66"/>
      <c r="J335" s="53"/>
      <c r="K335" s="48" t="str">
        <f ca="1">IF(AND(ISBLANK(Acciones!$D335)=FALSE,ISBLANK(Acciones!$H335)=TRUE),"Faltan fechas",IF(Acciones!$H335="","",IF(AND(Acciones!$H335&gt;=TODAY(),ISBLANK(Acciones!$J335)=TRUE),"En tiempo",IF(AND(Acciones!$H335&lt;TODAY(),Acciones!$J335=""),"Retrasado",IF(Acciones!$J335&gt;Acciones!$H335,"Cerrado con retraso","Cerrado")))))</f>
        <v/>
      </c>
      <c r="L335" s="61"/>
      <c r="M335" s="74"/>
      <c r="T335" s="26"/>
      <c r="U335" s="26"/>
    </row>
    <row r="336" spans="2:21" x14ac:dyDescent="0.3">
      <c r="B336" s="53"/>
      <c r="C336" s="65"/>
      <c r="D336" s="61"/>
      <c r="E336" s="56"/>
      <c r="F336" s="53"/>
      <c r="G336" s="53" t="str">
        <f>IF(ISBLANK(Acciones!$H336)=TRUE," ",WEEKNUM(Acciones!$H336,21))</f>
        <v xml:space="preserve"> </v>
      </c>
      <c r="H336" s="53"/>
      <c r="I336" s="66"/>
      <c r="J336" s="53"/>
      <c r="K336" s="48" t="str">
        <f ca="1">IF(AND(ISBLANK(Acciones!$D336)=FALSE,ISBLANK(Acciones!$H336)=TRUE),"Faltan fechas",IF(Acciones!$H336="","",IF(AND(Acciones!$H336&gt;=TODAY(),ISBLANK(Acciones!$J336)=TRUE),"En tiempo",IF(AND(Acciones!$H336&lt;TODAY(),Acciones!$J336=""),"Retrasado",IF(Acciones!$J336&gt;Acciones!$H336,"Cerrado con retraso","Cerrado")))))</f>
        <v/>
      </c>
      <c r="L336" s="61"/>
      <c r="M336" s="74"/>
      <c r="T336" s="26"/>
      <c r="U336" s="26"/>
    </row>
    <row r="337" spans="2:21" x14ac:dyDescent="0.3">
      <c r="B337" s="53"/>
      <c r="C337" s="65"/>
      <c r="D337" s="61"/>
      <c r="E337" s="56"/>
      <c r="F337" s="53"/>
      <c r="G337" s="53" t="str">
        <f>IF(ISBLANK(Acciones!$H337)=TRUE," ",WEEKNUM(Acciones!$H337,21))</f>
        <v xml:space="preserve"> </v>
      </c>
      <c r="H337" s="53"/>
      <c r="I337" s="66"/>
      <c r="J337" s="53"/>
      <c r="K337" s="48" t="str">
        <f ca="1">IF(AND(ISBLANK(Acciones!$D337)=FALSE,ISBLANK(Acciones!$H337)=TRUE),"Faltan fechas",IF(Acciones!$H337="","",IF(AND(Acciones!$H337&gt;=TODAY(),ISBLANK(Acciones!$J337)=TRUE),"En tiempo",IF(AND(Acciones!$H337&lt;TODAY(),Acciones!$J337=""),"Retrasado",IF(Acciones!$J337&gt;Acciones!$H337,"Cerrado con retraso","Cerrado")))))</f>
        <v/>
      </c>
      <c r="L337" s="61"/>
      <c r="M337" s="74"/>
      <c r="T337" s="26"/>
      <c r="U337" s="26"/>
    </row>
    <row r="338" spans="2:21" x14ac:dyDescent="0.3">
      <c r="B338" s="53"/>
      <c r="C338" s="65"/>
      <c r="D338" s="61"/>
      <c r="E338" s="56"/>
      <c r="F338" s="53"/>
      <c r="G338" s="53" t="str">
        <f>IF(ISBLANK(Acciones!$H338)=TRUE," ",WEEKNUM(Acciones!$H338,21))</f>
        <v xml:space="preserve"> </v>
      </c>
      <c r="H338" s="53"/>
      <c r="I338" s="66"/>
      <c r="J338" s="53"/>
      <c r="K338" s="48" t="str">
        <f ca="1">IF(AND(ISBLANK(Acciones!$D338)=FALSE,ISBLANK(Acciones!$H338)=TRUE),"Faltan fechas",IF(Acciones!$H338="","",IF(AND(Acciones!$H338&gt;=TODAY(),ISBLANK(Acciones!$J338)=TRUE),"En tiempo",IF(AND(Acciones!$H338&lt;TODAY(),Acciones!$J338=""),"Retrasado",IF(Acciones!$J338&gt;Acciones!$H338,"Cerrado con retraso","Cerrado")))))</f>
        <v/>
      </c>
      <c r="L338" s="61"/>
      <c r="M338" s="74"/>
      <c r="T338" s="26"/>
      <c r="U338" s="26"/>
    </row>
    <row r="339" spans="2:21" x14ac:dyDescent="0.3">
      <c r="B339" s="53"/>
      <c r="C339" s="65"/>
      <c r="D339" s="61"/>
      <c r="E339" s="56"/>
      <c r="F339" s="53"/>
      <c r="G339" s="53" t="str">
        <f>IF(ISBLANK(Acciones!$H339)=TRUE," ",WEEKNUM(Acciones!$H339,21))</f>
        <v xml:space="preserve"> </v>
      </c>
      <c r="H339" s="53"/>
      <c r="I339" s="66"/>
      <c r="J339" s="53"/>
      <c r="K339" s="48" t="str">
        <f ca="1">IF(AND(ISBLANK(Acciones!$D339)=FALSE,ISBLANK(Acciones!$H339)=TRUE),"Faltan fechas",IF(Acciones!$H339="","",IF(AND(Acciones!$H339&gt;=TODAY(),ISBLANK(Acciones!$J339)=TRUE),"En tiempo",IF(AND(Acciones!$H339&lt;TODAY(),Acciones!$J339=""),"Retrasado",IF(Acciones!$J339&gt;Acciones!$H339,"Cerrado con retraso","Cerrado")))))</f>
        <v/>
      </c>
      <c r="L339" s="61"/>
      <c r="M339" s="74"/>
      <c r="T339" s="26"/>
      <c r="U339" s="26"/>
    </row>
    <row r="340" spans="2:21" x14ac:dyDescent="0.3">
      <c r="B340" s="53"/>
      <c r="C340" s="65"/>
      <c r="D340" s="61"/>
      <c r="E340" s="56"/>
      <c r="F340" s="53"/>
      <c r="G340" s="53" t="str">
        <f>IF(ISBLANK(Acciones!$H340)=TRUE," ",WEEKNUM(Acciones!$H340,21))</f>
        <v xml:space="preserve"> </v>
      </c>
      <c r="H340" s="53"/>
      <c r="I340" s="66"/>
      <c r="J340" s="53"/>
      <c r="K340" s="48" t="str">
        <f ca="1">IF(AND(ISBLANK(Acciones!$D340)=FALSE,ISBLANK(Acciones!$H340)=TRUE),"Faltan fechas",IF(Acciones!$H340="","",IF(AND(Acciones!$H340&gt;=TODAY(),ISBLANK(Acciones!$J340)=TRUE),"En tiempo",IF(AND(Acciones!$H340&lt;TODAY(),Acciones!$J340=""),"Retrasado",IF(Acciones!$J340&gt;Acciones!$H340,"Cerrado con retraso","Cerrado")))))</f>
        <v/>
      </c>
      <c r="L340" s="61"/>
      <c r="M340" s="74"/>
      <c r="T340" s="26"/>
      <c r="U340" s="26"/>
    </row>
    <row r="341" spans="2:21" x14ac:dyDescent="0.3">
      <c r="B341" s="53"/>
      <c r="C341" s="65"/>
      <c r="D341" s="61"/>
      <c r="E341" s="56"/>
      <c r="F341" s="53"/>
      <c r="G341" s="53" t="str">
        <f>IF(ISBLANK(Acciones!$H341)=TRUE," ",WEEKNUM(Acciones!$H341,21))</f>
        <v xml:space="preserve"> </v>
      </c>
      <c r="H341" s="53"/>
      <c r="I341" s="66"/>
      <c r="J341" s="53"/>
      <c r="K341" s="48" t="str">
        <f ca="1">IF(AND(ISBLANK(Acciones!$D341)=FALSE,ISBLANK(Acciones!$H341)=TRUE),"Faltan fechas",IF(Acciones!$H341="","",IF(AND(Acciones!$H341&gt;=TODAY(),ISBLANK(Acciones!$J341)=TRUE),"En tiempo",IF(AND(Acciones!$H341&lt;TODAY(),Acciones!$J341=""),"Retrasado",IF(Acciones!$J341&gt;Acciones!$H341,"Cerrado con retraso","Cerrado")))))</f>
        <v/>
      </c>
      <c r="L341" s="61"/>
      <c r="M341" s="74"/>
      <c r="T341" s="26"/>
      <c r="U341" s="26"/>
    </row>
    <row r="342" spans="2:21" x14ac:dyDescent="0.3">
      <c r="B342" s="53"/>
      <c r="C342" s="65"/>
      <c r="D342" s="61"/>
      <c r="E342" s="56"/>
      <c r="F342" s="53"/>
      <c r="G342" s="53" t="str">
        <f>IF(ISBLANK(Acciones!$H342)=TRUE," ",WEEKNUM(Acciones!$H342,21))</f>
        <v xml:space="preserve"> </v>
      </c>
      <c r="H342" s="53"/>
      <c r="I342" s="66"/>
      <c r="J342" s="53"/>
      <c r="K342" s="48" t="str">
        <f ca="1">IF(AND(ISBLANK(Acciones!$D342)=FALSE,ISBLANK(Acciones!$H342)=TRUE),"Faltan fechas",IF(Acciones!$H342="","",IF(AND(Acciones!$H342&gt;=TODAY(),ISBLANK(Acciones!$J342)=TRUE),"En tiempo",IF(AND(Acciones!$H342&lt;TODAY(),Acciones!$J342=""),"Retrasado",IF(Acciones!$J342&gt;Acciones!$H342,"Cerrado con retraso","Cerrado")))))</f>
        <v/>
      </c>
      <c r="L342" s="61"/>
      <c r="M342" s="74"/>
      <c r="T342" s="26"/>
      <c r="U342" s="26"/>
    </row>
    <row r="343" spans="2:21" x14ac:dyDescent="0.3">
      <c r="B343" s="53"/>
      <c r="C343" s="65"/>
      <c r="D343" s="61"/>
      <c r="E343" s="56"/>
      <c r="F343" s="53"/>
      <c r="G343" s="53" t="str">
        <f>IF(ISBLANK(Acciones!$H343)=TRUE," ",WEEKNUM(Acciones!$H343,21))</f>
        <v xml:space="preserve"> </v>
      </c>
      <c r="H343" s="53"/>
      <c r="I343" s="66"/>
      <c r="J343" s="53"/>
      <c r="K343" s="48" t="str">
        <f ca="1">IF(AND(ISBLANK(Acciones!$D343)=FALSE,ISBLANK(Acciones!$H343)=TRUE),"Faltan fechas",IF(Acciones!$H343="","",IF(AND(Acciones!$H343&gt;=TODAY(),ISBLANK(Acciones!$J343)=TRUE),"En tiempo",IF(AND(Acciones!$H343&lt;TODAY(),Acciones!$J343=""),"Retrasado",IF(Acciones!$J343&gt;Acciones!$H343,"Cerrado con retraso","Cerrado")))))</f>
        <v/>
      </c>
      <c r="L343" s="61"/>
      <c r="M343" s="74"/>
      <c r="T343" s="26"/>
      <c r="U343" s="26"/>
    </row>
    <row r="344" spans="2:21" x14ac:dyDescent="0.3">
      <c r="B344" s="53"/>
      <c r="C344" s="65"/>
      <c r="D344" s="61"/>
      <c r="E344" s="56"/>
      <c r="F344" s="53"/>
      <c r="G344" s="53" t="str">
        <f>IF(ISBLANK(Acciones!$H344)=TRUE," ",WEEKNUM(Acciones!$H344,21))</f>
        <v xml:space="preserve"> </v>
      </c>
      <c r="H344" s="53"/>
      <c r="I344" s="66"/>
      <c r="J344" s="53"/>
      <c r="K344" s="48" t="str">
        <f ca="1">IF(AND(ISBLANK(Acciones!$D344)=FALSE,ISBLANK(Acciones!$H344)=TRUE),"Faltan fechas",IF(Acciones!$H344="","",IF(AND(Acciones!$H344&gt;=TODAY(),ISBLANK(Acciones!$J344)=TRUE),"En tiempo",IF(AND(Acciones!$H344&lt;TODAY(),Acciones!$J344=""),"Retrasado",IF(Acciones!$J344&gt;Acciones!$H344,"Cerrado con retraso","Cerrado")))))</f>
        <v/>
      </c>
      <c r="L344" s="61"/>
      <c r="M344" s="74"/>
      <c r="T344" s="26"/>
      <c r="U344" s="26"/>
    </row>
    <row r="345" spans="2:21" x14ac:dyDescent="0.3">
      <c r="B345" s="53"/>
      <c r="C345" s="65"/>
      <c r="D345" s="61"/>
      <c r="E345" s="56"/>
      <c r="F345" s="53"/>
      <c r="G345" s="53" t="str">
        <f>IF(ISBLANK(Acciones!$H345)=TRUE," ",WEEKNUM(Acciones!$H345,21))</f>
        <v xml:space="preserve"> </v>
      </c>
      <c r="H345" s="53"/>
      <c r="I345" s="66"/>
      <c r="J345" s="53"/>
      <c r="K345" s="48" t="str">
        <f ca="1">IF(AND(ISBLANK(Acciones!$D345)=FALSE,ISBLANK(Acciones!$H345)=TRUE),"Faltan fechas",IF(Acciones!$H345="","",IF(AND(Acciones!$H345&gt;=TODAY(),ISBLANK(Acciones!$J345)=TRUE),"En tiempo",IF(AND(Acciones!$H345&lt;TODAY(),Acciones!$J345=""),"Retrasado",IF(Acciones!$J345&gt;Acciones!$H345,"Cerrado con retraso","Cerrado")))))</f>
        <v/>
      </c>
      <c r="L345" s="61"/>
      <c r="M345" s="74"/>
      <c r="T345" s="26"/>
      <c r="U345" s="26"/>
    </row>
    <row r="346" spans="2:21" x14ac:dyDescent="0.3">
      <c r="B346" s="53"/>
      <c r="C346" s="65"/>
      <c r="D346" s="61"/>
      <c r="E346" s="56"/>
      <c r="F346" s="53"/>
      <c r="G346" s="53" t="str">
        <f>IF(ISBLANK(Acciones!$H346)=TRUE," ",WEEKNUM(Acciones!$H346,21))</f>
        <v xml:space="preserve"> </v>
      </c>
      <c r="H346" s="53"/>
      <c r="I346" s="66"/>
      <c r="J346" s="53"/>
      <c r="K346" s="48" t="str">
        <f ca="1">IF(AND(ISBLANK(Acciones!$D346)=FALSE,ISBLANK(Acciones!$H346)=TRUE),"Faltan fechas",IF(Acciones!$H346="","",IF(AND(Acciones!$H346&gt;=TODAY(),ISBLANK(Acciones!$J346)=TRUE),"En tiempo",IF(AND(Acciones!$H346&lt;TODAY(),Acciones!$J346=""),"Retrasado",IF(Acciones!$J346&gt;Acciones!$H346,"Cerrado con retraso","Cerrado")))))</f>
        <v/>
      </c>
      <c r="L346" s="61"/>
      <c r="M346" s="74"/>
      <c r="T346" s="26"/>
      <c r="U346" s="26"/>
    </row>
    <row r="347" spans="2:21" x14ac:dyDescent="0.3">
      <c r="B347" s="53"/>
      <c r="C347" s="65"/>
      <c r="D347" s="61"/>
      <c r="E347" s="56"/>
      <c r="F347" s="53"/>
      <c r="G347" s="53" t="str">
        <f>IF(ISBLANK(Acciones!$H347)=TRUE," ",WEEKNUM(Acciones!$H347,21))</f>
        <v xml:space="preserve"> </v>
      </c>
      <c r="H347" s="53"/>
      <c r="I347" s="66"/>
      <c r="J347" s="53"/>
      <c r="K347" s="48" t="str">
        <f ca="1">IF(AND(ISBLANK(Acciones!$D347)=FALSE,ISBLANK(Acciones!$H347)=TRUE),"Faltan fechas",IF(Acciones!$H347="","",IF(AND(Acciones!$H347&gt;=TODAY(),ISBLANK(Acciones!$J347)=TRUE),"En tiempo",IF(AND(Acciones!$H347&lt;TODAY(),Acciones!$J347=""),"Retrasado",IF(Acciones!$J347&gt;Acciones!$H347,"Cerrado con retraso","Cerrado")))))</f>
        <v/>
      </c>
      <c r="L347" s="61"/>
      <c r="M347" s="74"/>
      <c r="T347" s="26"/>
      <c r="U347" s="26"/>
    </row>
    <row r="348" spans="2:21" x14ac:dyDescent="0.3">
      <c r="B348" s="53"/>
      <c r="C348" s="65"/>
      <c r="D348" s="61"/>
      <c r="E348" s="56"/>
      <c r="F348" s="53"/>
      <c r="G348" s="53" t="str">
        <f>IF(ISBLANK(Acciones!$H348)=TRUE," ",WEEKNUM(Acciones!$H348,21))</f>
        <v xml:space="preserve"> </v>
      </c>
      <c r="H348" s="53"/>
      <c r="I348" s="66"/>
      <c r="J348" s="53"/>
      <c r="K348" s="48" t="str">
        <f ca="1">IF(AND(ISBLANK(Acciones!$D348)=FALSE,ISBLANK(Acciones!$H348)=TRUE),"Faltan fechas",IF(Acciones!$H348="","",IF(AND(Acciones!$H348&gt;=TODAY(),ISBLANK(Acciones!$J348)=TRUE),"En tiempo",IF(AND(Acciones!$H348&lt;TODAY(),Acciones!$J348=""),"Retrasado",IF(Acciones!$J348&gt;Acciones!$H348,"Cerrado con retraso","Cerrado")))))</f>
        <v/>
      </c>
      <c r="L348" s="61"/>
      <c r="M348" s="74"/>
      <c r="T348" s="26"/>
      <c r="U348" s="26"/>
    </row>
    <row r="349" spans="2:21" x14ac:dyDescent="0.3">
      <c r="B349" s="53"/>
      <c r="C349" s="65"/>
      <c r="D349" s="61"/>
      <c r="E349" s="56"/>
      <c r="F349" s="53"/>
      <c r="G349" s="53" t="str">
        <f>IF(ISBLANK(Acciones!$H349)=TRUE," ",WEEKNUM(Acciones!$H349,21))</f>
        <v xml:space="preserve"> </v>
      </c>
      <c r="H349" s="53"/>
      <c r="I349" s="66"/>
      <c r="J349" s="53"/>
      <c r="K349" s="48" t="str">
        <f ca="1">IF(AND(ISBLANK(Acciones!$D349)=FALSE,ISBLANK(Acciones!$H349)=TRUE),"Faltan fechas",IF(Acciones!$H349="","",IF(AND(Acciones!$H349&gt;=TODAY(),ISBLANK(Acciones!$J349)=TRUE),"En tiempo",IF(AND(Acciones!$H349&lt;TODAY(),Acciones!$J349=""),"Retrasado",IF(Acciones!$J349&gt;Acciones!$H349,"Cerrado con retraso","Cerrado")))))</f>
        <v/>
      </c>
      <c r="L349" s="61"/>
      <c r="M349" s="74"/>
      <c r="T349" s="26"/>
      <c r="U349" s="26"/>
    </row>
    <row r="350" spans="2:21" x14ac:dyDescent="0.3">
      <c r="B350" s="53"/>
      <c r="C350" s="65"/>
      <c r="D350" s="61"/>
      <c r="E350" s="56"/>
      <c r="F350" s="53"/>
      <c r="G350" s="53" t="str">
        <f>IF(ISBLANK(Acciones!$H350)=TRUE," ",WEEKNUM(Acciones!$H350,21))</f>
        <v xml:space="preserve"> </v>
      </c>
      <c r="H350" s="53"/>
      <c r="I350" s="66"/>
      <c r="J350" s="53"/>
      <c r="K350" s="48" t="str">
        <f ca="1">IF(AND(ISBLANK(Acciones!$D350)=FALSE,ISBLANK(Acciones!$H350)=TRUE),"Faltan fechas",IF(Acciones!$H350="","",IF(AND(Acciones!$H350&gt;=TODAY(),ISBLANK(Acciones!$J350)=TRUE),"En tiempo",IF(AND(Acciones!$H350&lt;TODAY(),Acciones!$J350=""),"Retrasado",IF(Acciones!$J350&gt;Acciones!$H350,"Cerrado con retraso","Cerrado")))))</f>
        <v/>
      </c>
      <c r="L350" s="61"/>
      <c r="M350" s="74"/>
      <c r="T350" s="26"/>
      <c r="U350" s="26"/>
    </row>
    <row r="351" spans="2:21" x14ac:dyDescent="0.3">
      <c r="B351" s="53"/>
      <c r="C351" s="65"/>
      <c r="D351" s="61"/>
      <c r="E351" s="56"/>
      <c r="F351" s="53"/>
      <c r="G351" s="53" t="str">
        <f>IF(ISBLANK(Acciones!$H351)=TRUE," ",WEEKNUM(Acciones!$H351,21))</f>
        <v xml:space="preserve"> </v>
      </c>
      <c r="H351" s="53"/>
      <c r="I351" s="66"/>
      <c r="J351" s="53"/>
      <c r="K351" s="48" t="str">
        <f ca="1">IF(AND(ISBLANK(Acciones!$D351)=FALSE,ISBLANK(Acciones!$H351)=TRUE),"Faltan fechas",IF(Acciones!$H351="","",IF(AND(Acciones!$H351&gt;=TODAY(),ISBLANK(Acciones!$J351)=TRUE),"En tiempo",IF(AND(Acciones!$H351&lt;TODAY(),Acciones!$J351=""),"Retrasado",IF(Acciones!$J351&gt;Acciones!$H351,"Cerrado con retraso","Cerrado")))))</f>
        <v/>
      </c>
      <c r="L351" s="61"/>
      <c r="M351" s="74"/>
      <c r="T351" s="26"/>
      <c r="U351" s="26"/>
    </row>
    <row r="352" spans="2:21" x14ac:dyDescent="0.3">
      <c r="B352" s="53"/>
      <c r="C352" s="65"/>
      <c r="D352" s="61"/>
      <c r="E352" s="56"/>
      <c r="F352" s="53"/>
      <c r="G352" s="53" t="str">
        <f>IF(ISBLANK(Acciones!$H352)=TRUE," ",WEEKNUM(Acciones!$H352,21))</f>
        <v xml:space="preserve"> </v>
      </c>
      <c r="H352" s="53"/>
      <c r="I352" s="66"/>
      <c r="J352" s="53"/>
      <c r="K352" s="48" t="str">
        <f ca="1">IF(AND(ISBLANK(Acciones!$D352)=FALSE,ISBLANK(Acciones!$H352)=TRUE),"Faltan fechas",IF(Acciones!$H352="","",IF(AND(Acciones!$H352&gt;=TODAY(),ISBLANK(Acciones!$J352)=TRUE),"En tiempo",IF(AND(Acciones!$H352&lt;TODAY(),Acciones!$J352=""),"Retrasado",IF(Acciones!$J352&gt;Acciones!$H352,"Cerrado con retraso","Cerrado")))))</f>
        <v/>
      </c>
      <c r="L352" s="61"/>
      <c r="M352" s="74"/>
      <c r="T352" s="26"/>
      <c r="U352" s="26"/>
    </row>
    <row r="353" spans="2:21" x14ac:dyDescent="0.3">
      <c r="B353" s="53"/>
      <c r="C353" s="65"/>
      <c r="D353" s="61"/>
      <c r="E353" s="56"/>
      <c r="F353" s="53"/>
      <c r="G353" s="53" t="str">
        <f>IF(ISBLANK(Acciones!$H353)=TRUE," ",WEEKNUM(Acciones!$H353,21))</f>
        <v xml:space="preserve"> </v>
      </c>
      <c r="H353" s="53"/>
      <c r="I353" s="66"/>
      <c r="J353" s="53"/>
      <c r="K353" s="48" t="str">
        <f ca="1">IF(AND(ISBLANK(Acciones!$D353)=FALSE,ISBLANK(Acciones!$H353)=TRUE),"Faltan fechas",IF(Acciones!$H353="","",IF(AND(Acciones!$H353&gt;=TODAY(),ISBLANK(Acciones!$J353)=TRUE),"En tiempo",IF(AND(Acciones!$H353&lt;TODAY(),Acciones!$J353=""),"Retrasado",IF(Acciones!$J353&gt;Acciones!$H353,"Cerrado con retraso","Cerrado")))))</f>
        <v/>
      </c>
      <c r="L353" s="61"/>
      <c r="M353" s="74"/>
      <c r="T353" s="26"/>
      <c r="U353" s="26"/>
    </row>
    <row r="354" spans="2:21" x14ac:dyDescent="0.3">
      <c r="B354" s="53"/>
      <c r="C354" s="65"/>
      <c r="D354" s="61"/>
      <c r="E354" s="56"/>
      <c r="F354" s="53"/>
      <c r="G354" s="53" t="str">
        <f>IF(ISBLANK(Acciones!$H354)=TRUE," ",WEEKNUM(Acciones!$H354,21))</f>
        <v xml:space="preserve"> </v>
      </c>
      <c r="H354" s="53"/>
      <c r="I354" s="66"/>
      <c r="J354" s="53"/>
      <c r="K354" s="48" t="str">
        <f ca="1">IF(AND(ISBLANK(Acciones!$D354)=FALSE,ISBLANK(Acciones!$H354)=TRUE),"Faltan fechas",IF(Acciones!$H354="","",IF(AND(Acciones!$H354&gt;=TODAY(),ISBLANK(Acciones!$J354)=TRUE),"En tiempo",IF(AND(Acciones!$H354&lt;TODAY(),Acciones!$J354=""),"Retrasado",IF(Acciones!$J354&gt;Acciones!$H354,"Cerrado con retraso","Cerrado")))))</f>
        <v/>
      </c>
      <c r="L354" s="61"/>
      <c r="M354" s="74"/>
      <c r="T354" s="26"/>
      <c r="U354" s="26"/>
    </row>
    <row r="355" spans="2:21" x14ac:dyDescent="0.3">
      <c r="B355" s="53"/>
      <c r="C355" s="65"/>
      <c r="D355" s="61"/>
      <c r="E355" s="56"/>
      <c r="F355" s="53"/>
      <c r="G355" s="53" t="str">
        <f>IF(ISBLANK(Acciones!$H355)=TRUE," ",WEEKNUM(Acciones!$H355,21))</f>
        <v xml:space="preserve"> </v>
      </c>
      <c r="H355" s="53"/>
      <c r="I355" s="66"/>
      <c r="J355" s="53"/>
      <c r="K355" s="48" t="str">
        <f ca="1">IF(AND(ISBLANK(Acciones!$D355)=FALSE,ISBLANK(Acciones!$H355)=TRUE),"Faltan fechas",IF(Acciones!$H355="","",IF(AND(Acciones!$H355&gt;=TODAY(),ISBLANK(Acciones!$J355)=TRUE),"En tiempo",IF(AND(Acciones!$H355&lt;TODAY(),Acciones!$J355=""),"Retrasado",IF(Acciones!$J355&gt;Acciones!$H355,"Cerrado con retraso","Cerrado")))))</f>
        <v/>
      </c>
      <c r="L355" s="61"/>
      <c r="M355" s="74"/>
      <c r="T355" s="26"/>
      <c r="U355" s="26"/>
    </row>
    <row r="356" spans="2:21" x14ac:dyDescent="0.3">
      <c r="B356" s="53"/>
      <c r="C356" s="65"/>
      <c r="D356" s="61"/>
      <c r="E356" s="56"/>
      <c r="F356" s="53"/>
      <c r="G356" s="53" t="str">
        <f>IF(ISBLANK(Acciones!$H356)=TRUE," ",WEEKNUM(Acciones!$H356,21))</f>
        <v xml:space="preserve"> </v>
      </c>
      <c r="H356" s="53"/>
      <c r="I356" s="66"/>
      <c r="J356" s="53"/>
      <c r="K356" s="48" t="str">
        <f ca="1">IF(AND(ISBLANK(Acciones!$D356)=FALSE,ISBLANK(Acciones!$H356)=TRUE),"Faltan fechas",IF(Acciones!$H356="","",IF(AND(Acciones!$H356&gt;=TODAY(),ISBLANK(Acciones!$J356)=TRUE),"En tiempo",IF(AND(Acciones!$H356&lt;TODAY(),Acciones!$J356=""),"Retrasado",IF(Acciones!$J356&gt;Acciones!$H356,"Cerrado con retraso","Cerrado")))))</f>
        <v/>
      </c>
      <c r="L356" s="61"/>
      <c r="M356" s="74"/>
      <c r="T356" s="26"/>
      <c r="U356" s="26"/>
    </row>
    <row r="357" spans="2:21" x14ac:dyDescent="0.3">
      <c r="B357" s="53"/>
      <c r="C357" s="65"/>
      <c r="D357" s="61"/>
      <c r="E357" s="56"/>
      <c r="F357" s="53"/>
      <c r="G357" s="53" t="str">
        <f>IF(ISBLANK(Acciones!$H357)=TRUE," ",WEEKNUM(Acciones!$H357,21))</f>
        <v xml:space="preserve"> </v>
      </c>
      <c r="H357" s="53"/>
      <c r="I357" s="66"/>
      <c r="J357" s="53"/>
      <c r="K357" s="48" t="str">
        <f ca="1">IF(AND(ISBLANK(Acciones!$D357)=FALSE,ISBLANK(Acciones!$H357)=TRUE),"Faltan fechas",IF(Acciones!$H357="","",IF(AND(Acciones!$H357&gt;=TODAY(),ISBLANK(Acciones!$J357)=TRUE),"En tiempo",IF(AND(Acciones!$H357&lt;TODAY(),Acciones!$J357=""),"Retrasado",IF(Acciones!$J357&gt;Acciones!$H357,"Cerrado con retraso","Cerrado")))))</f>
        <v/>
      </c>
      <c r="L357" s="61"/>
      <c r="M357" s="74"/>
      <c r="T357" s="26"/>
      <c r="U357" s="26"/>
    </row>
    <row r="358" spans="2:21" x14ac:dyDescent="0.3">
      <c r="B358" s="53"/>
      <c r="C358" s="65"/>
      <c r="D358" s="61"/>
      <c r="E358" s="56"/>
      <c r="F358" s="53"/>
      <c r="G358" s="53" t="str">
        <f>IF(ISBLANK(Acciones!$H358)=TRUE," ",WEEKNUM(Acciones!$H358,21))</f>
        <v xml:space="preserve"> </v>
      </c>
      <c r="H358" s="53"/>
      <c r="I358" s="66"/>
      <c r="J358" s="53"/>
      <c r="K358" s="48" t="str">
        <f ca="1">IF(AND(ISBLANK(Acciones!$D358)=FALSE,ISBLANK(Acciones!$H358)=TRUE),"Faltan fechas",IF(Acciones!$H358="","",IF(AND(Acciones!$H358&gt;=TODAY(),ISBLANK(Acciones!$J358)=TRUE),"En tiempo",IF(AND(Acciones!$H358&lt;TODAY(),Acciones!$J358=""),"Retrasado",IF(Acciones!$J358&gt;Acciones!$H358,"Cerrado con retraso","Cerrado")))))</f>
        <v/>
      </c>
      <c r="L358" s="61"/>
      <c r="M358" s="74"/>
      <c r="T358" s="26"/>
      <c r="U358" s="26"/>
    </row>
    <row r="359" spans="2:21" x14ac:dyDescent="0.3">
      <c r="B359" s="53"/>
      <c r="C359" s="65"/>
      <c r="D359" s="61"/>
      <c r="E359" s="56"/>
      <c r="F359" s="53"/>
      <c r="G359" s="53" t="str">
        <f>IF(ISBLANK(Acciones!$H359)=TRUE," ",WEEKNUM(Acciones!$H359,21))</f>
        <v xml:space="preserve"> </v>
      </c>
      <c r="H359" s="53"/>
      <c r="I359" s="66"/>
      <c r="J359" s="53"/>
      <c r="K359" s="48" t="str">
        <f ca="1">IF(AND(ISBLANK(Acciones!$D359)=FALSE,ISBLANK(Acciones!$H359)=TRUE),"Faltan fechas",IF(Acciones!$H359="","",IF(AND(Acciones!$H359&gt;=TODAY(),ISBLANK(Acciones!$J359)=TRUE),"En tiempo",IF(AND(Acciones!$H359&lt;TODAY(),Acciones!$J359=""),"Retrasado",IF(Acciones!$J359&gt;Acciones!$H359,"Cerrado con retraso","Cerrado")))))</f>
        <v/>
      </c>
      <c r="L359" s="61"/>
      <c r="M359" s="74"/>
      <c r="T359" s="26"/>
      <c r="U359" s="26"/>
    </row>
    <row r="360" spans="2:21" x14ac:dyDescent="0.3">
      <c r="B360" s="53"/>
      <c r="C360" s="65"/>
      <c r="D360" s="61"/>
      <c r="E360" s="56"/>
      <c r="F360" s="53"/>
      <c r="G360" s="53" t="str">
        <f>IF(ISBLANK(Acciones!$H360)=TRUE," ",WEEKNUM(Acciones!$H360,21))</f>
        <v xml:space="preserve"> </v>
      </c>
      <c r="H360" s="53"/>
      <c r="I360" s="66"/>
      <c r="J360" s="53"/>
      <c r="K360" s="48" t="str">
        <f ca="1">IF(AND(ISBLANK(Acciones!$D360)=FALSE,ISBLANK(Acciones!$H360)=TRUE),"Faltan fechas",IF(Acciones!$H360="","",IF(AND(Acciones!$H360&gt;=TODAY(),ISBLANK(Acciones!$J360)=TRUE),"En tiempo",IF(AND(Acciones!$H360&lt;TODAY(),Acciones!$J360=""),"Retrasado",IF(Acciones!$J360&gt;Acciones!$H360,"Cerrado con retraso","Cerrado")))))</f>
        <v/>
      </c>
      <c r="L360" s="61"/>
      <c r="M360" s="74"/>
      <c r="T360" s="26"/>
      <c r="U360" s="26"/>
    </row>
    <row r="361" spans="2:21" x14ac:dyDescent="0.3">
      <c r="B361" s="53"/>
      <c r="C361" s="65"/>
      <c r="D361" s="61"/>
      <c r="E361" s="56"/>
      <c r="F361" s="53"/>
      <c r="G361" s="53" t="str">
        <f>IF(ISBLANK(Acciones!$H361)=TRUE," ",WEEKNUM(Acciones!$H361,21))</f>
        <v xml:space="preserve"> </v>
      </c>
      <c r="H361" s="53"/>
      <c r="I361" s="66"/>
      <c r="J361" s="53"/>
      <c r="K361" s="48" t="str">
        <f ca="1">IF(AND(ISBLANK(Acciones!$D361)=FALSE,ISBLANK(Acciones!$H361)=TRUE),"Faltan fechas",IF(Acciones!$H361="","",IF(AND(Acciones!$H361&gt;=TODAY(),ISBLANK(Acciones!$J361)=TRUE),"En tiempo",IF(AND(Acciones!$H361&lt;TODAY(),Acciones!$J361=""),"Retrasado",IF(Acciones!$J361&gt;Acciones!$H361,"Cerrado con retraso","Cerrado")))))</f>
        <v/>
      </c>
      <c r="L361" s="61"/>
      <c r="M361" s="74"/>
      <c r="T361" s="26"/>
      <c r="U361" s="26"/>
    </row>
    <row r="362" spans="2:21" x14ac:dyDescent="0.3">
      <c r="B362" s="53"/>
      <c r="C362" s="65"/>
      <c r="D362" s="61"/>
      <c r="E362" s="56"/>
      <c r="F362" s="53"/>
      <c r="G362" s="53" t="str">
        <f>IF(ISBLANK(Acciones!$H362)=TRUE," ",WEEKNUM(Acciones!$H362,21))</f>
        <v xml:space="preserve"> </v>
      </c>
      <c r="H362" s="53"/>
      <c r="I362" s="66"/>
      <c r="J362" s="53"/>
      <c r="K362" s="48" t="str">
        <f ca="1">IF(AND(ISBLANK(Acciones!$D362)=FALSE,ISBLANK(Acciones!$H362)=TRUE),"Faltan fechas",IF(Acciones!$H362="","",IF(AND(Acciones!$H362&gt;=TODAY(),ISBLANK(Acciones!$J362)=TRUE),"En tiempo",IF(AND(Acciones!$H362&lt;TODAY(),Acciones!$J362=""),"Retrasado",IF(Acciones!$J362&gt;Acciones!$H362,"Cerrado con retraso","Cerrado")))))</f>
        <v/>
      </c>
      <c r="L362" s="61"/>
      <c r="M362" s="74"/>
      <c r="T362" s="26"/>
      <c r="U362" s="26"/>
    </row>
    <row r="363" spans="2:21" x14ac:dyDescent="0.3">
      <c r="B363" s="53"/>
      <c r="C363" s="65"/>
      <c r="D363" s="61"/>
      <c r="E363" s="56"/>
      <c r="F363" s="53"/>
      <c r="G363" s="53" t="str">
        <f>IF(ISBLANK(Acciones!$H363)=TRUE," ",WEEKNUM(Acciones!$H363,21))</f>
        <v xml:space="preserve"> </v>
      </c>
      <c r="H363" s="53"/>
      <c r="I363" s="66"/>
      <c r="J363" s="53"/>
      <c r="K363" s="48" t="str">
        <f ca="1">IF(AND(ISBLANK(Acciones!$D363)=FALSE,ISBLANK(Acciones!$H363)=TRUE),"Faltan fechas",IF(Acciones!$H363="","",IF(AND(Acciones!$H363&gt;=TODAY(),ISBLANK(Acciones!$J363)=TRUE),"En tiempo",IF(AND(Acciones!$H363&lt;TODAY(),Acciones!$J363=""),"Retrasado",IF(Acciones!$J363&gt;Acciones!$H363,"Cerrado con retraso","Cerrado")))))</f>
        <v/>
      </c>
      <c r="L363" s="61"/>
      <c r="M363" s="74"/>
      <c r="T363" s="26"/>
      <c r="U363" s="26"/>
    </row>
    <row r="364" spans="2:21" x14ac:dyDescent="0.3">
      <c r="B364" s="53"/>
      <c r="C364" s="65"/>
      <c r="D364" s="61"/>
      <c r="E364" s="56"/>
      <c r="F364" s="53"/>
      <c r="G364" s="53" t="str">
        <f>IF(ISBLANK(Acciones!$H364)=TRUE," ",WEEKNUM(Acciones!$H364,21))</f>
        <v xml:space="preserve"> </v>
      </c>
      <c r="H364" s="53"/>
      <c r="I364" s="66"/>
      <c r="J364" s="53"/>
      <c r="K364" s="48" t="str">
        <f ca="1">IF(AND(ISBLANK(Acciones!$D364)=FALSE,ISBLANK(Acciones!$H364)=TRUE),"Faltan fechas",IF(Acciones!$H364="","",IF(AND(Acciones!$H364&gt;=TODAY(),ISBLANK(Acciones!$J364)=TRUE),"En tiempo",IF(AND(Acciones!$H364&lt;TODAY(),Acciones!$J364=""),"Retrasado",IF(Acciones!$J364&gt;Acciones!$H364,"Cerrado con retraso","Cerrado")))))</f>
        <v/>
      </c>
      <c r="L364" s="61"/>
      <c r="M364" s="74"/>
      <c r="T364" s="26"/>
      <c r="U364" s="26"/>
    </row>
    <row r="365" spans="2:21" x14ac:dyDescent="0.3">
      <c r="B365" s="53"/>
      <c r="C365" s="65"/>
      <c r="D365" s="61"/>
      <c r="E365" s="56"/>
      <c r="F365" s="53"/>
      <c r="G365" s="53" t="str">
        <f>IF(ISBLANK(Acciones!$H365)=TRUE," ",WEEKNUM(Acciones!$H365,21))</f>
        <v xml:space="preserve"> </v>
      </c>
      <c r="H365" s="53"/>
      <c r="I365" s="66"/>
      <c r="J365" s="53"/>
      <c r="K365" s="48" t="str">
        <f ca="1">IF(AND(ISBLANK(Acciones!$D365)=FALSE,ISBLANK(Acciones!$H365)=TRUE),"Faltan fechas",IF(Acciones!$H365="","",IF(AND(Acciones!$H365&gt;=TODAY(),ISBLANK(Acciones!$J365)=TRUE),"En tiempo",IF(AND(Acciones!$H365&lt;TODAY(),Acciones!$J365=""),"Retrasado",IF(Acciones!$J365&gt;Acciones!$H365,"Cerrado con retraso","Cerrado")))))</f>
        <v/>
      </c>
      <c r="L365" s="61"/>
      <c r="M365" s="74"/>
      <c r="T365" s="26"/>
      <c r="U365" s="26"/>
    </row>
    <row r="366" spans="2:21" x14ac:dyDescent="0.3">
      <c r="B366" s="53"/>
      <c r="C366" s="65"/>
      <c r="D366" s="61"/>
      <c r="E366" s="56"/>
      <c r="F366" s="53"/>
      <c r="G366" s="53" t="str">
        <f>IF(ISBLANK(Acciones!$H366)=TRUE," ",WEEKNUM(Acciones!$H366,21))</f>
        <v xml:space="preserve"> </v>
      </c>
      <c r="H366" s="53"/>
      <c r="I366" s="66"/>
      <c r="J366" s="53"/>
      <c r="K366" s="48" t="str">
        <f ca="1">IF(AND(ISBLANK(Acciones!$D366)=FALSE,ISBLANK(Acciones!$H366)=TRUE),"Faltan fechas",IF(Acciones!$H366="","",IF(AND(Acciones!$H366&gt;=TODAY(),ISBLANK(Acciones!$J366)=TRUE),"En tiempo",IF(AND(Acciones!$H366&lt;TODAY(),Acciones!$J366=""),"Retrasado",IF(Acciones!$J366&gt;Acciones!$H366,"Cerrado con retraso","Cerrado")))))</f>
        <v/>
      </c>
      <c r="L366" s="61"/>
      <c r="M366" s="74"/>
      <c r="T366" s="26"/>
      <c r="U366" s="26"/>
    </row>
    <row r="367" spans="2:21" x14ac:dyDescent="0.3">
      <c r="B367" s="53"/>
      <c r="C367" s="65"/>
      <c r="D367" s="61"/>
      <c r="E367" s="56"/>
      <c r="F367" s="53"/>
      <c r="G367" s="53" t="str">
        <f>IF(ISBLANK(Acciones!$H367)=TRUE," ",WEEKNUM(Acciones!$H367,21))</f>
        <v xml:space="preserve"> </v>
      </c>
      <c r="H367" s="53"/>
      <c r="I367" s="66"/>
      <c r="J367" s="53"/>
      <c r="K367" s="48" t="str">
        <f ca="1">IF(AND(ISBLANK(Acciones!$D367)=FALSE,ISBLANK(Acciones!$H367)=TRUE),"Faltan fechas",IF(Acciones!$H367="","",IF(AND(Acciones!$H367&gt;=TODAY(),ISBLANK(Acciones!$J367)=TRUE),"En tiempo",IF(AND(Acciones!$H367&lt;TODAY(),Acciones!$J367=""),"Retrasado",IF(Acciones!$J367&gt;Acciones!$H367,"Cerrado con retraso","Cerrado")))))</f>
        <v/>
      </c>
      <c r="L367" s="61"/>
      <c r="M367" s="74"/>
      <c r="T367" s="26"/>
      <c r="U367" s="26"/>
    </row>
    <row r="368" spans="2:21" x14ac:dyDescent="0.3">
      <c r="B368" s="53"/>
      <c r="C368" s="65"/>
      <c r="D368" s="61"/>
      <c r="E368" s="56"/>
      <c r="F368" s="53"/>
      <c r="G368" s="53" t="str">
        <f>IF(ISBLANK(Acciones!$H368)=TRUE," ",WEEKNUM(Acciones!$H368,21))</f>
        <v xml:space="preserve"> </v>
      </c>
      <c r="H368" s="53"/>
      <c r="I368" s="66"/>
      <c r="J368" s="53"/>
      <c r="K368" s="48" t="str">
        <f ca="1">IF(AND(ISBLANK(Acciones!$D368)=FALSE,ISBLANK(Acciones!$H368)=TRUE),"Faltan fechas",IF(Acciones!$H368="","",IF(AND(Acciones!$H368&gt;=TODAY(),ISBLANK(Acciones!$J368)=TRUE),"En tiempo",IF(AND(Acciones!$H368&lt;TODAY(),Acciones!$J368=""),"Retrasado",IF(Acciones!$J368&gt;Acciones!$H368,"Cerrado con retraso","Cerrado")))))</f>
        <v/>
      </c>
      <c r="L368" s="61"/>
      <c r="M368" s="74"/>
      <c r="T368" s="26"/>
      <c r="U368" s="26"/>
    </row>
    <row r="369" spans="2:21" x14ac:dyDescent="0.3">
      <c r="B369" s="53"/>
      <c r="C369" s="65"/>
      <c r="D369" s="61"/>
      <c r="E369" s="56"/>
      <c r="F369" s="53"/>
      <c r="G369" s="53" t="str">
        <f>IF(ISBLANK(Acciones!$H369)=TRUE," ",WEEKNUM(Acciones!$H369,21))</f>
        <v xml:space="preserve"> </v>
      </c>
      <c r="H369" s="53"/>
      <c r="I369" s="66"/>
      <c r="J369" s="53"/>
      <c r="K369" s="48" t="str">
        <f ca="1">IF(AND(ISBLANK(Acciones!$D369)=FALSE,ISBLANK(Acciones!$H369)=TRUE),"Faltan fechas",IF(Acciones!$H369="","",IF(AND(Acciones!$H369&gt;=TODAY(),ISBLANK(Acciones!$J369)=TRUE),"En tiempo",IF(AND(Acciones!$H369&lt;TODAY(),Acciones!$J369=""),"Retrasado",IF(Acciones!$J369&gt;Acciones!$H369,"Cerrado con retraso","Cerrado")))))</f>
        <v/>
      </c>
      <c r="L369" s="61"/>
      <c r="M369" s="74"/>
      <c r="T369" s="26"/>
      <c r="U369" s="26"/>
    </row>
    <row r="370" spans="2:21" x14ac:dyDescent="0.3">
      <c r="B370" s="53"/>
      <c r="C370" s="65"/>
      <c r="D370" s="61"/>
      <c r="E370" s="56"/>
      <c r="F370" s="53"/>
      <c r="G370" s="53" t="str">
        <f>IF(ISBLANK(Acciones!$H370)=TRUE," ",WEEKNUM(Acciones!$H370,21))</f>
        <v xml:space="preserve"> </v>
      </c>
      <c r="H370" s="53"/>
      <c r="I370" s="66"/>
      <c r="J370" s="53"/>
      <c r="K370" s="48" t="str">
        <f ca="1">IF(AND(ISBLANK(Acciones!$D370)=FALSE,ISBLANK(Acciones!$H370)=TRUE),"Faltan fechas",IF(Acciones!$H370="","",IF(AND(Acciones!$H370&gt;=TODAY(),ISBLANK(Acciones!$J370)=TRUE),"En tiempo",IF(AND(Acciones!$H370&lt;TODAY(),Acciones!$J370=""),"Retrasado",IF(Acciones!$J370&gt;Acciones!$H370,"Cerrado con retraso","Cerrado")))))</f>
        <v/>
      </c>
      <c r="L370" s="61"/>
      <c r="M370" s="74"/>
      <c r="T370" s="26"/>
      <c r="U370" s="26"/>
    </row>
    <row r="371" spans="2:21" x14ac:dyDescent="0.3">
      <c r="B371" s="53"/>
      <c r="C371" s="65"/>
      <c r="D371" s="61"/>
      <c r="E371" s="56"/>
      <c r="F371" s="53"/>
      <c r="G371" s="53" t="str">
        <f>IF(ISBLANK(Acciones!$H371)=TRUE," ",WEEKNUM(Acciones!$H371,21))</f>
        <v xml:space="preserve"> </v>
      </c>
      <c r="H371" s="53"/>
      <c r="I371" s="66"/>
      <c r="J371" s="53"/>
      <c r="K371" s="48" t="str">
        <f ca="1">IF(AND(ISBLANK(Acciones!$D371)=FALSE,ISBLANK(Acciones!$H371)=TRUE),"Faltan fechas",IF(Acciones!$H371="","",IF(AND(Acciones!$H371&gt;=TODAY(),ISBLANK(Acciones!$J371)=TRUE),"En tiempo",IF(AND(Acciones!$H371&lt;TODAY(),Acciones!$J371=""),"Retrasado",IF(Acciones!$J371&gt;Acciones!$H371,"Cerrado con retraso","Cerrado")))))</f>
        <v/>
      </c>
      <c r="L371" s="61"/>
      <c r="M371" s="74"/>
      <c r="T371" s="26"/>
      <c r="U371" s="26"/>
    </row>
    <row r="372" spans="2:21" x14ac:dyDescent="0.3">
      <c r="B372" s="53"/>
      <c r="C372" s="65"/>
      <c r="D372" s="61"/>
      <c r="E372" s="56"/>
      <c r="F372" s="53"/>
      <c r="G372" s="53" t="str">
        <f>IF(ISBLANK(Acciones!$H372)=TRUE," ",WEEKNUM(Acciones!$H372,21))</f>
        <v xml:space="preserve"> </v>
      </c>
      <c r="H372" s="53"/>
      <c r="I372" s="66"/>
      <c r="J372" s="53"/>
      <c r="K372" s="48" t="str">
        <f ca="1">IF(AND(ISBLANK(Acciones!$D372)=FALSE,ISBLANK(Acciones!$H372)=TRUE),"Faltan fechas",IF(Acciones!$H372="","",IF(AND(Acciones!$H372&gt;=TODAY(),ISBLANK(Acciones!$J372)=TRUE),"En tiempo",IF(AND(Acciones!$H372&lt;TODAY(),Acciones!$J372=""),"Retrasado",IF(Acciones!$J372&gt;Acciones!$H372,"Cerrado con retraso","Cerrado")))))</f>
        <v/>
      </c>
      <c r="L372" s="61"/>
      <c r="M372" s="74"/>
      <c r="T372" s="26"/>
      <c r="U372" s="26"/>
    </row>
    <row r="373" spans="2:21" x14ac:dyDescent="0.3">
      <c r="B373" s="53"/>
      <c r="C373" s="65"/>
      <c r="D373" s="61"/>
      <c r="E373" s="56"/>
      <c r="F373" s="53"/>
      <c r="G373" s="53" t="str">
        <f>IF(ISBLANK(Acciones!$H373)=TRUE," ",WEEKNUM(Acciones!$H373,21))</f>
        <v xml:space="preserve"> </v>
      </c>
      <c r="H373" s="53"/>
      <c r="I373" s="66"/>
      <c r="J373" s="53"/>
      <c r="K373" s="48" t="str">
        <f ca="1">IF(AND(ISBLANK(Acciones!$D373)=FALSE,ISBLANK(Acciones!$H373)=TRUE),"Faltan fechas",IF(Acciones!$H373="","",IF(AND(Acciones!$H373&gt;=TODAY(),ISBLANK(Acciones!$J373)=TRUE),"En tiempo",IF(AND(Acciones!$H373&lt;TODAY(),Acciones!$J373=""),"Retrasado",IF(Acciones!$J373&gt;Acciones!$H373,"Cerrado con retraso","Cerrado")))))</f>
        <v/>
      </c>
      <c r="L373" s="61"/>
      <c r="M373" s="74"/>
      <c r="T373" s="26"/>
      <c r="U373" s="26"/>
    </row>
    <row r="374" spans="2:21" x14ac:dyDescent="0.3">
      <c r="B374" s="53"/>
      <c r="C374" s="65"/>
      <c r="D374" s="61"/>
      <c r="E374" s="56"/>
      <c r="F374" s="53"/>
      <c r="G374" s="53" t="str">
        <f>IF(ISBLANK(Acciones!$H374)=TRUE," ",WEEKNUM(Acciones!$H374,21))</f>
        <v xml:space="preserve"> </v>
      </c>
      <c r="H374" s="53"/>
      <c r="I374" s="66"/>
      <c r="J374" s="53"/>
      <c r="K374" s="48" t="str">
        <f ca="1">IF(AND(ISBLANK(Acciones!$D374)=FALSE,ISBLANK(Acciones!$H374)=TRUE),"Faltan fechas",IF(Acciones!$H374="","",IF(AND(Acciones!$H374&gt;=TODAY(),ISBLANK(Acciones!$J374)=TRUE),"En tiempo",IF(AND(Acciones!$H374&lt;TODAY(),Acciones!$J374=""),"Retrasado",IF(Acciones!$J374&gt;Acciones!$H374,"Cerrado con retraso","Cerrado")))))</f>
        <v/>
      </c>
      <c r="L374" s="61"/>
      <c r="M374" s="74"/>
      <c r="T374" s="26"/>
      <c r="U374" s="26"/>
    </row>
    <row r="375" spans="2:21" x14ac:dyDescent="0.3">
      <c r="B375" s="53"/>
      <c r="C375" s="65"/>
      <c r="D375" s="61"/>
      <c r="E375" s="56"/>
      <c r="F375" s="53"/>
      <c r="G375" s="53" t="str">
        <f>IF(ISBLANK(Acciones!$H375)=TRUE," ",WEEKNUM(Acciones!$H375,21))</f>
        <v xml:space="preserve"> </v>
      </c>
      <c r="H375" s="53"/>
      <c r="I375" s="66"/>
      <c r="J375" s="53"/>
      <c r="K375" s="48" t="str">
        <f ca="1">IF(AND(ISBLANK(Acciones!$D375)=FALSE,ISBLANK(Acciones!$H375)=TRUE),"Faltan fechas",IF(Acciones!$H375="","",IF(AND(Acciones!$H375&gt;=TODAY(),ISBLANK(Acciones!$J375)=TRUE),"En tiempo",IF(AND(Acciones!$H375&lt;TODAY(),Acciones!$J375=""),"Retrasado",IF(Acciones!$J375&gt;Acciones!$H375,"Cerrado con retraso","Cerrado")))))</f>
        <v/>
      </c>
      <c r="L375" s="61"/>
      <c r="M375" s="74"/>
      <c r="T375" s="26"/>
      <c r="U375" s="26"/>
    </row>
    <row r="376" spans="2:21" x14ac:dyDescent="0.3">
      <c r="B376" s="53"/>
      <c r="C376" s="65"/>
      <c r="D376" s="61"/>
      <c r="E376" s="56"/>
      <c r="F376" s="53"/>
      <c r="G376" s="53" t="str">
        <f>IF(ISBLANK(Acciones!$H376)=TRUE," ",WEEKNUM(Acciones!$H376,21))</f>
        <v xml:space="preserve"> </v>
      </c>
      <c r="H376" s="53"/>
      <c r="I376" s="66"/>
      <c r="J376" s="53"/>
      <c r="K376" s="48" t="str">
        <f ca="1">IF(AND(ISBLANK(Acciones!$D376)=FALSE,ISBLANK(Acciones!$H376)=TRUE),"Faltan fechas",IF(Acciones!$H376="","",IF(AND(Acciones!$H376&gt;=TODAY(),ISBLANK(Acciones!$J376)=TRUE),"En tiempo",IF(AND(Acciones!$H376&lt;TODAY(),Acciones!$J376=""),"Retrasado",IF(Acciones!$J376&gt;Acciones!$H376,"Cerrado con retraso","Cerrado")))))</f>
        <v/>
      </c>
      <c r="L376" s="61"/>
      <c r="M376" s="74"/>
      <c r="T376" s="26"/>
      <c r="U376" s="26"/>
    </row>
    <row r="377" spans="2:21" x14ac:dyDescent="0.3">
      <c r="B377" s="53"/>
      <c r="C377" s="65"/>
      <c r="D377" s="61"/>
      <c r="E377" s="56"/>
      <c r="F377" s="53"/>
      <c r="G377" s="53" t="str">
        <f>IF(ISBLANK(Acciones!$H377)=TRUE," ",WEEKNUM(Acciones!$H377,21))</f>
        <v xml:space="preserve"> </v>
      </c>
      <c r="H377" s="53"/>
      <c r="I377" s="66"/>
      <c r="J377" s="53"/>
      <c r="K377" s="48" t="str">
        <f ca="1">IF(AND(ISBLANK(Acciones!$D377)=FALSE,ISBLANK(Acciones!$H377)=TRUE),"Faltan fechas",IF(Acciones!$H377="","",IF(AND(Acciones!$H377&gt;=TODAY(),ISBLANK(Acciones!$J377)=TRUE),"En tiempo",IF(AND(Acciones!$H377&lt;TODAY(),Acciones!$J377=""),"Retrasado",IF(Acciones!$J377&gt;Acciones!$H377,"Cerrado con retraso","Cerrado")))))</f>
        <v/>
      </c>
      <c r="L377" s="61"/>
      <c r="M377" s="74"/>
      <c r="T377" s="26"/>
      <c r="U377" s="26"/>
    </row>
    <row r="378" spans="2:21" x14ac:dyDescent="0.3">
      <c r="B378" s="53"/>
      <c r="C378" s="65"/>
      <c r="D378" s="61"/>
      <c r="E378" s="56"/>
      <c r="F378" s="53"/>
      <c r="G378" s="53" t="str">
        <f>IF(ISBLANK(Acciones!$H378)=TRUE," ",WEEKNUM(Acciones!$H378,21))</f>
        <v xml:space="preserve"> </v>
      </c>
      <c r="H378" s="53"/>
      <c r="I378" s="66"/>
      <c r="J378" s="53"/>
      <c r="K378" s="48" t="str">
        <f ca="1">IF(AND(ISBLANK(Acciones!$D378)=FALSE,ISBLANK(Acciones!$H378)=TRUE),"Faltan fechas",IF(Acciones!$H378="","",IF(AND(Acciones!$H378&gt;=TODAY(),ISBLANK(Acciones!$J378)=TRUE),"En tiempo",IF(AND(Acciones!$H378&lt;TODAY(),Acciones!$J378=""),"Retrasado",IF(Acciones!$J378&gt;Acciones!$H378,"Cerrado con retraso","Cerrado")))))</f>
        <v/>
      </c>
      <c r="L378" s="61"/>
      <c r="M378" s="74"/>
      <c r="T378" s="26"/>
      <c r="U378" s="26"/>
    </row>
    <row r="379" spans="2:21" x14ac:dyDescent="0.3">
      <c r="B379" s="53"/>
      <c r="C379" s="65"/>
      <c r="D379" s="61"/>
      <c r="E379" s="56"/>
      <c r="F379" s="53"/>
      <c r="G379" s="53" t="str">
        <f>IF(ISBLANK(Acciones!$H379)=TRUE," ",WEEKNUM(Acciones!$H379,21))</f>
        <v xml:space="preserve"> </v>
      </c>
      <c r="H379" s="53"/>
      <c r="I379" s="66"/>
      <c r="J379" s="53"/>
      <c r="K379" s="48" t="str">
        <f ca="1">IF(AND(ISBLANK(Acciones!$D379)=FALSE,ISBLANK(Acciones!$H379)=TRUE),"Faltan fechas",IF(Acciones!$H379="","",IF(AND(Acciones!$H379&gt;=TODAY(),ISBLANK(Acciones!$J379)=TRUE),"En tiempo",IF(AND(Acciones!$H379&lt;TODAY(),Acciones!$J379=""),"Retrasado",IF(Acciones!$J379&gt;Acciones!$H379,"Cerrado con retraso","Cerrado")))))</f>
        <v/>
      </c>
      <c r="L379" s="61"/>
      <c r="M379" s="74"/>
      <c r="T379" s="26"/>
      <c r="U379" s="26"/>
    </row>
    <row r="380" spans="2:21" x14ac:dyDescent="0.3">
      <c r="B380" s="53"/>
      <c r="C380" s="65"/>
      <c r="D380" s="61"/>
      <c r="E380" s="56"/>
      <c r="F380" s="53"/>
      <c r="G380" s="53" t="str">
        <f>IF(ISBLANK(Acciones!$H380)=TRUE," ",WEEKNUM(Acciones!$H380,21))</f>
        <v xml:space="preserve"> </v>
      </c>
      <c r="H380" s="53"/>
      <c r="I380" s="66"/>
      <c r="J380" s="53"/>
      <c r="K380" s="48" t="str">
        <f ca="1">IF(AND(ISBLANK(Acciones!$D380)=FALSE,ISBLANK(Acciones!$H380)=TRUE),"Faltan fechas",IF(Acciones!$H380="","",IF(AND(Acciones!$H380&gt;=TODAY(),ISBLANK(Acciones!$J380)=TRUE),"En tiempo",IF(AND(Acciones!$H380&lt;TODAY(),Acciones!$J380=""),"Retrasado",IF(Acciones!$J380&gt;Acciones!$H380,"Cerrado con retraso","Cerrado")))))</f>
        <v/>
      </c>
      <c r="L380" s="61"/>
      <c r="M380" s="74"/>
      <c r="T380" s="26"/>
      <c r="U380" s="26"/>
    </row>
    <row r="381" spans="2:21" x14ac:dyDescent="0.3">
      <c r="B381" s="53"/>
      <c r="C381" s="65"/>
      <c r="D381" s="61"/>
      <c r="E381" s="56"/>
      <c r="F381" s="53"/>
      <c r="G381" s="53" t="str">
        <f>IF(ISBLANK(Acciones!$H381)=TRUE," ",WEEKNUM(Acciones!$H381,21))</f>
        <v xml:space="preserve"> </v>
      </c>
      <c r="H381" s="53"/>
      <c r="I381" s="66"/>
      <c r="J381" s="53"/>
      <c r="K381" s="48" t="str">
        <f ca="1">IF(AND(ISBLANK(Acciones!$D381)=FALSE,ISBLANK(Acciones!$H381)=TRUE),"Faltan fechas",IF(Acciones!$H381="","",IF(AND(Acciones!$H381&gt;=TODAY(),ISBLANK(Acciones!$J381)=TRUE),"En tiempo",IF(AND(Acciones!$H381&lt;TODAY(),Acciones!$J381=""),"Retrasado",IF(Acciones!$J381&gt;Acciones!$H381,"Cerrado con retraso","Cerrado")))))</f>
        <v/>
      </c>
      <c r="L381" s="61"/>
      <c r="M381" s="74"/>
      <c r="T381" s="26"/>
      <c r="U381" s="26"/>
    </row>
    <row r="382" spans="2:21" x14ac:dyDescent="0.3">
      <c r="B382" s="53"/>
      <c r="C382" s="65"/>
      <c r="D382" s="61"/>
      <c r="E382" s="56"/>
      <c r="F382" s="53"/>
      <c r="G382" s="53" t="str">
        <f>IF(ISBLANK(Acciones!$H382)=TRUE," ",WEEKNUM(Acciones!$H382,21))</f>
        <v xml:space="preserve"> </v>
      </c>
      <c r="H382" s="53"/>
      <c r="I382" s="66"/>
      <c r="J382" s="53"/>
      <c r="K382" s="48" t="str">
        <f ca="1">IF(AND(ISBLANK(Acciones!$D382)=FALSE,ISBLANK(Acciones!$H382)=TRUE),"Faltan fechas",IF(Acciones!$H382="","",IF(AND(Acciones!$H382&gt;=TODAY(),ISBLANK(Acciones!$J382)=TRUE),"En tiempo",IF(AND(Acciones!$H382&lt;TODAY(),Acciones!$J382=""),"Retrasado",IF(Acciones!$J382&gt;Acciones!$H382,"Cerrado con retraso","Cerrado")))))</f>
        <v/>
      </c>
      <c r="L382" s="61"/>
      <c r="M382" s="74"/>
      <c r="T382" s="26"/>
      <c r="U382" s="26"/>
    </row>
    <row r="383" spans="2:21" x14ac:dyDescent="0.3">
      <c r="B383" s="53"/>
      <c r="C383" s="65"/>
      <c r="D383" s="61"/>
      <c r="E383" s="56"/>
      <c r="F383" s="53"/>
      <c r="G383" s="53" t="str">
        <f>IF(ISBLANK(Acciones!$H383)=TRUE," ",WEEKNUM(Acciones!$H383,21))</f>
        <v xml:space="preserve"> </v>
      </c>
      <c r="H383" s="53"/>
      <c r="I383" s="66"/>
      <c r="J383" s="53"/>
      <c r="K383" s="48" t="str">
        <f ca="1">IF(AND(ISBLANK(Acciones!$D383)=FALSE,ISBLANK(Acciones!$H383)=TRUE),"Faltan fechas",IF(Acciones!$H383="","",IF(AND(Acciones!$H383&gt;=TODAY(),ISBLANK(Acciones!$J383)=TRUE),"En tiempo",IF(AND(Acciones!$H383&lt;TODAY(),Acciones!$J383=""),"Retrasado",IF(Acciones!$J383&gt;Acciones!$H383,"Cerrado con retraso","Cerrado")))))</f>
        <v/>
      </c>
      <c r="L383" s="61"/>
      <c r="M383" s="74"/>
      <c r="T383" s="26"/>
      <c r="U383" s="26"/>
    </row>
    <row r="384" spans="2:21" x14ac:dyDescent="0.3">
      <c r="B384" s="53"/>
      <c r="C384" s="65"/>
      <c r="D384" s="61"/>
      <c r="E384" s="56"/>
      <c r="F384" s="53"/>
      <c r="G384" s="53" t="str">
        <f>IF(ISBLANK(Acciones!$H384)=TRUE," ",WEEKNUM(Acciones!$H384,21))</f>
        <v xml:space="preserve"> </v>
      </c>
      <c r="H384" s="53"/>
      <c r="I384" s="66"/>
      <c r="J384" s="53"/>
      <c r="K384" s="48" t="str">
        <f ca="1">IF(AND(ISBLANK(Acciones!$D384)=FALSE,ISBLANK(Acciones!$H384)=TRUE),"Faltan fechas",IF(Acciones!$H384="","",IF(AND(Acciones!$H384&gt;=TODAY(),ISBLANK(Acciones!$J384)=TRUE),"En tiempo",IF(AND(Acciones!$H384&lt;TODAY(),Acciones!$J384=""),"Retrasado",IF(Acciones!$J384&gt;Acciones!$H384,"Cerrado con retraso","Cerrado")))))</f>
        <v/>
      </c>
      <c r="L384" s="61"/>
      <c r="M384" s="74"/>
      <c r="T384" s="26"/>
      <c r="U384" s="26"/>
    </row>
    <row r="385" spans="2:21" x14ac:dyDescent="0.3">
      <c r="B385" s="53"/>
      <c r="C385" s="65"/>
      <c r="D385" s="61"/>
      <c r="E385" s="56"/>
      <c r="F385" s="53"/>
      <c r="G385" s="53" t="str">
        <f>IF(ISBLANK(Acciones!$H385)=TRUE," ",WEEKNUM(Acciones!$H385,21))</f>
        <v xml:space="preserve"> </v>
      </c>
      <c r="H385" s="53"/>
      <c r="I385" s="66"/>
      <c r="J385" s="53"/>
      <c r="K385" s="48" t="str">
        <f ca="1">IF(AND(ISBLANK(Acciones!$D385)=FALSE,ISBLANK(Acciones!$H385)=TRUE),"Faltan fechas",IF(Acciones!$H385="","",IF(AND(Acciones!$H385&gt;=TODAY(),ISBLANK(Acciones!$J385)=TRUE),"En tiempo",IF(AND(Acciones!$H385&lt;TODAY(),Acciones!$J385=""),"Retrasado",IF(Acciones!$J385&gt;Acciones!$H385,"Cerrado con retraso","Cerrado")))))</f>
        <v/>
      </c>
      <c r="L385" s="61"/>
      <c r="M385" s="74"/>
      <c r="T385" s="26"/>
      <c r="U385" s="26"/>
    </row>
    <row r="386" spans="2:21" x14ac:dyDescent="0.3">
      <c r="B386" s="53"/>
      <c r="C386" s="65"/>
      <c r="D386" s="61"/>
      <c r="E386" s="56"/>
      <c r="F386" s="53"/>
      <c r="G386" s="53" t="str">
        <f>IF(ISBLANK(Acciones!$H386)=TRUE," ",WEEKNUM(Acciones!$H386,21))</f>
        <v xml:space="preserve"> </v>
      </c>
      <c r="H386" s="53"/>
      <c r="I386" s="66"/>
      <c r="J386" s="53"/>
      <c r="K386" s="48" t="str">
        <f ca="1">IF(AND(ISBLANK(Acciones!$D386)=FALSE,ISBLANK(Acciones!$H386)=TRUE),"Faltan fechas",IF(Acciones!$H386="","",IF(AND(Acciones!$H386&gt;=TODAY(),ISBLANK(Acciones!$J386)=TRUE),"En tiempo",IF(AND(Acciones!$H386&lt;TODAY(),Acciones!$J386=""),"Retrasado",IF(Acciones!$J386&gt;Acciones!$H386,"Cerrado con retraso","Cerrado")))))</f>
        <v/>
      </c>
      <c r="L386" s="61"/>
      <c r="M386" s="74"/>
      <c r="T386" s="26"/>
      <c r="U386" s="26"/>
    </row>
    <row r="387" spans="2:21" x14ac:dyDescent="0.3">
      <c r="B387" s="53"/>
      <c r="C387" s="65"/>
      <c r="D387" s="61"/>
      <c r="E387" s="56"/>
      <c r="F387" s="53"/>
      <c r="G387" s="53" t="str">
        <f>IF(ISBLANK(Acciones!$H387)=TRUE," ",WEEKNUM(Acciones!$H387,21))</f>
        <v xml:space="preserve"> </v>
      </c>
      <c r="H387" s="53"/>
      <c r="I387" s="66"/>
      <c r="J387" s="53"/>
      <c r="K387" s="48" t="str">
        <f ca="1">IF(AND(ISBLANK(Acciones!$D387)=FALSE,ISBLANK(Acciones!$H387)=TRUE),"Faltan fechas",IF(Acciones!$H387="","",IF(AND(Acciones!$H387&gt;=TODAY(),ISBLANK(Acciones!$J387)=TRUE),"En tiempo",IF(AND(Acciones!$H387&lt;TODAY(),Acciones!$J387=""),"Retrasado",IF(Acciones!$J387&gt;Acciones!$H387,"Cerrado con retraso","Cerrado")))))</f>
        <v/>
      </c>
      <c r="L387" s="61"/>
      <c r="M387" s="74"/>
      <c r="T387" s="26"/>
      <c r="U387" s="26"/>
    </row>
    <row r="388" spans="2:21" x14ac:dyDescent="0.3">
      <c r="B388" s="53"/>
      <c r="C388" s="65"/>
      <c r="D388" s="61"/>
      <c r="E388" s="56"/>
      <c r="F388" s="53"/>
      <c r="G388" s="53" t="str">
        <f>IF(ISBLANK(Acciones!$H388)=TRUE," ",WEEKNUM(Acciones!$H388,21))</f>
        <v xml:space="preserve"> </v>
      </c>
      <c r="H388" s="53"/>
      <c r="I388" s="66"/>
      <c r="J388" s="53"/>
      <c r="K388" s="48" t="str">
        <f ca="1">IF(AND(ISBLANK(Acciones!$D388)=FALSE,ISBLANK(Acciones!$H388)=TRUE),"Faltan fechas",IF(Acciones!$H388="","",IF(AND(Acciones!$H388&gt;=TODAY(),ISBLANK(Acciones!$J388)=TRUE),"En tiempo",IF(AND(Acciones!$H388&lt;TODAY(),Acciones!$J388=""),"Retrasado",IF(Acciones!$J388&gt;Acciones!$H388,"Cerrado con retraso","Cerrado")))))</f>
        <v/>
      </c>
      <c r="L388" s="61"/>
      <c r="M388" s="74"/>
      <c r="T388" s="26"/>
      <c r="U388" s="26"/>
    </row>
    <row r="389" spans="2:21" x14ac:dyDescent="0.3">
      <c r="B389" s="53"/>
      <c r="C389" s="65"/>
      <c r="D389" s="61"/>
      <c r="E389" s="56"/>
      <c r="F389" s="53"/>
      <c r="G389" s="53" t="str">
        <f>IF(ISBLANK(Acciones!$H389)=TRUE," ",WEEKNUM(Acciones!$H389,21))</f>
        <v xml:space="preserve"> </v>
      </c>
      <c r="H389" s="53"/>
      <c r="I389" s="66"/>
      <c r="J389" s="53"/>
      <c r="K389" s="48" t="str">
        <f ca="1">IF(AND(ISBLANK(Acciones!$D389)=FALSE,ISBLANK(Acciones!$H389)=TRUE),"Faltan fechas",IF(Acciones!$H389="","",IF(AND(Acciones!$H389&gt;=TODAY(),ISBLANK(Acciones!$J389)=TRUE),"En tiempo",IF(AND(Acciones!$H389&lt;TODAY(),Acciones!$J389=""),"Retrasado",IF(Acciones!$J389&gt;Acciones!$H389,"Cerrado con retraso","Cerrado")))))</f>
        <v/>
      </c>
      <c r="L389" s="61"/>
      <c r="M389" s="74"/>
      <c r="T389" s="26"/>
      <c r="U389" s="26"/>
    </row>
    <row r="390" spans="2:21" x14ac:dyDescent="0.3">
      <c r="B390" s="53"/>
      <c r="C390" s="65"/>
      <c r="D390" s="61"/>
      <c r="E390" s="56"/>
      <c r="F390" s="53"/>
      <c r="G390" s="53" t="str">
        <f>IF(ISBLANK(Acciones!$H390)=TRUE," ",WEEKNUM(Acciones!$H390,21))</f>
        <v xml:space="preserve"> </v>
      </c>
      <c r="H390" s="53"/>
      <c r="I390" s="66"/>
      <c r="J390" s="53"/>
      <c r="K390" s="48" t="str">
        <f ca="1">IF(AND(ISBLANK(Acciones!$D390)=FALSE,ISBLANK(Acciones!$H390)=TRUE),"Faltan fechas",IF(Acciones!$H390="","",IF(AND(Acciones!$H390&gt;=TODAY(),ISBLANK(Acciones!$J390)=TRUE),"En tiempo",IF(AND(Acciones!$H390&lt;TODAY(),Acciones!$J390=""),"Retrasado",IF(Acciones!$J390&gt;Acciones!$H390,"Cerrado con retraso","Cerrado")))))</f>
        <v/>
      </c>
      <c r="L390" s="61"/>
      <c r="M390" s="74"/>
      <c r="T390" s="26"/>
      <c r="U390" s="26"/>
    </row>
    <row r="391" spans="2:21" x14ac:dyDescent="0.3">
      <c r="B391" s="53"/>
      <c r="C391" s="65"/>
      <c r="D391" s="61"/>
      <c r="E391" s="56"/>
      <c r="F391" s="53"/>
      <c r="G391" s="53" t="str">
        <f>IF(ISBLANK(Acciones!$H391)=TRUE," ",WEEKNUM(Acciones!$H391,21))</f>
        <v xml:space="preserve"> </v>
      </c>
      <c r="H391" s="53"/>
      <c r="I391" s="66"/>
      <c r="J391" s="53"/>
      <c r="K391" s="48" t="str">
        <f ca="1">IF(AND(ISBLANK(Acciones!$D391)=FALSE,ISBLANK(Acciones!$H391)=TRUE),"Faltan fechas",IF(Acciones!$H391="","",IF(AND(Acciones!$H391&gt;=TODAY(),ISBLANK(Acciones!$J391)=TRUE),"En tiempo",IF(AND(Acciones!$H391&lt;TODAY(),Acciones!$J391=""),"Retrasado",IF(Acciones!$J391&gt;Acciones!$H391,"Cerrado con retraso","Cerrado")))))</f>
        <v/>
      </c>
      <c r="L391" s="61"/>
      <c r="M391" s="74"/>
      <c r="T391" s="26"/>
      <c r="U391" s="26"/>
    </row>
    <row r="392" spans="2:21" x14ac:dyDescent="0.3">
      <c r="B392" s="53"/>
      <c r="C392" s="65"/>
      <c r="D392" s="61"/>
      <c r="E392" s="56"/>
      <c r="F392" s="53"/>
      <c r="G392" s="53" t="str">
        <f>IF(ISBLANK(Acciones!$H392)=TRUE," ",WEEKNUM(Acciones!$H392,21))</f>
        <v xml:space="preserve"> </v>
      </c>
      <c r="H392" s="53"/>
      <c r="I392" s="66"/>
      <c r="J392" s="53"/>
      <c r="K392" s="48" t="str">
        <f ca="1">IF(AND(ISBLANK(Acciones!$D392)=FALSE,ISBLANK(Acciones!$H392)=TRUE),"Faltan fechas",IF(Acciones!$H392="","",IF(AND(Acciones!$H392&gt;=TODAY(),ISBLANK(Acciones!$J392)=TRUE),"En tiempo",IF(AND(Acciones!$H392&lt;TODAY(),Acciones!$J392=""),"Retrasado",IF(Acciones!$J392&gt;Acciones!$H392,"Cerrado con retraso","Cerrado")))))</f>
        <v/>
      </c>
      <c r="L392" s="61"/>
      <c r="M392" s="74"/>
      <c r="T392" s="26"/>
      <c r="U392" s="26"/>
    </row>
    <row r="393" spans="2:21" x14ac:dyDescent="0.3">
      <c r="B393" s="53"/>
      <c r="C393" s="65"/>
      <c r="D393" s="61"/>
      <c r="E393" s="56"/>
      <c r="F393" s="53"/>
      <c r="G393" s="53" t="str">
        <f>IF(ISBLANK(Acciones!$H393)=TRUE," ",WEEKNUM(Acciones!$H393,21))</f>
        <v xml:space="preserve"> </v>
      </c>
      <c r="H393" s="53"/>
      <c r="I393" s="66"/>
      <c r="J393" s="53"/>
      <c r="K393" s="48" t="str">
        <f ca="1">IF(AND(ISBLANK(Acciones!$D393)=FALSE,ISBLANK(Acciones!$H393)=TRUE),"Faltan fechas",IF(Acciones!$H393="","",IF(AND(Acciones!$H393&gt;=TODAY(),ISBLANK(Acciones!$J393)=TRUE),"En tiempo",IF(AND(Acciones!$H393&lt;TODAY(),Acciones!$J393=""),"Retrasado",IF(Acciones!$J393&gt;Acciones!$H393,"Cerrado con retraso","Cerrado")))))</f>
        <v/>
      </c>
      <c r="L393" s="61"/>
      <c r="M393" s="74"/>
      <c r="T393" s="26"/>
      <c r="U393" s="26"/>
    </row>
    <row r="394" spans="2:21" x14ac:dyDescent="0.3">
      <c r="B394" s="53"/>
      <c r="C394" s="65"/>
      <c r="D394" s="61"/>
      <c r="E394" s="56"/>
      <c r="F394" s="53"/>
      <c r="G394" s="53" t="str">
        <f>IF(ISBLANK(Acciones!$H394)=TRUE," ",WEEKNUM(Acciones!$H394,21))</f>
        <v xml:space="preserve"> </v>
      </c>
      <c r="H394" s="53"/>
      <c r="I394" s="66"/>
      <c r="J394" s="53"/>
      <c r="K394" s="48" t="str">
        <f ca="1">IF(AND(ISBLANK(Acciones!$D394)=FALSE,ISBLANK(Acciones!$H394)=TRUE),"Faltan fechas",IF(Acciones!$H394="","",IF(AND(Acciones!$H394&gt;=TODAY(),ISBLANK(Acciones!$J394)=TRUE),"En tiempo",IF(AND(Acciones!$H394&lt;TODAY(),Acciones!$J394=""),"Retrasado",IF(Acciones!$J394&gt;Acciones!$H394,"Cerrado con retraso","Cerrado")))))</f>
        <v/>
      </c>
      <c r="L394" s="61"/>
      <c r="M394" s="74"/>
      <c r="T394" s="26"/>
      <c r="U394" s="26"/>
    </row>
    <row r="395" spans="2:21" x14ac:dyDescent="0.3">
      <c r="B395" s="53"/>
      <c r="C395" s="65"/>
      <c r="D395" s="61"/>
      <c r="E395" s="56"/>
      <c r="F395" s="53"/>
      <c r="G395" s="53" t="str">
        <f>IF(ISBLANK(Acciones!$H395)=TRUE," ",WEEKNUM(Acciones!$H395,21))</f>
        <v xml:space="preserve"> </v>
      </c>
      <c r="H395" s="53"/>
      <c r="I395" s="66"/>
      <c r="J395" s="53"/>
      <c r="K395" s="48" t="str">
        <f ca="1">IF(AND(ISBLANK(Acciones!$D395)=FALSE,ISBLANK(Acciones!$H395)=TRUE),"Faltan fechas",IF(Acciones!$H395="","",IF(AND(Acciones!$H395&gt;=TODAY(),ISBLANK(Acciones!$J395)=TRUE),"En tiempo",IF(AND(Acciones!$H395&lt;TODAY(),Acciones!$J395=""),"Retrasado",IF(Acciones!$J395&gt;Acciones!$H395,"Cerrado con retraso","Cerrado")))))</f>
        <v/>
      </c>
      <c r="L395" s="61"/>
      <c r="M395" s="74"/>
      <c r="T395" s="26"/>
      <c r="U395" s="26"/>
    </row>
    <row r="396" spans="2:21" x14ac:dyDescent="0.3">
      <c r="B396" s="53"/>
      <c r="C396" s="65"/>
      <c r="D396" s="61"/>
      <c r="E396" s="56"/>
      <c r="F396" s="53"/>
      <c r="G396" s="53" t="str">
        <f>IF(ISBLANK(Acciones!$H396)=TRUE," ",WEEKNUM(Acciones!$H396,21))</f>
        <v xml:space="preserve"> </v>
      </c>
      <c r="H396" s="53"/>
      <c r="I396" s="66"/>
      <c r="J396" s="53"/>
      <c r="K396" s="48" t="str">
        <f ca="1">IF(AND(ISBLANK(Acciones!$D396)=FALSE,ISBLANK(Acciones!$H396)=TRUE),"Faltan fechas",IF(Acciones!$H396="","",IF(AND(Acciones!$H396&gt;=TODAY(),ISBLANK(Acciones!$J396)=TRUE),"En tiempo",IF(AND(Acciones!$H396&lt;TODAY(),Acciones!$J396=""),"Retrasado",IF(Acciones!$J396&gt;Acciones!$H396,"Cerrado con retraso","Cerrado")))))</f>
        <v/>
      </c>
      <c r="L396" s="61"/>
      <c r="M396" s="74"/>
      <c r="T396" s="26"/>
      <c r="U396" s="26"/>
    </row>
    <row r="397" spans="2:21" x14ac:dyDescent="0.3">
      <c r="B397" s="53"/>
      <c r="C397" s="65"/>
      <c r="D397" s="61"/>
      <c r="E397" s="56"/>
      <c r="F397" s="53"/>
      <c r="G397" s="53" t="str">
        <f>IF(ISBLANK(Acciones!$H397)=TRUE," ",WEEKNUM(Acciones!$H397,21))</f>
        <v xml:space="preserve"> </v>
      </c>
      <c r="H397" s="53"/>
      <c r="I397" s="66"/>
      <c r="J397" s="53"/>
      <c r="K397" s="48" t="str">
        <f ca="1">IF(AND(ISBLANK(Acciones!$D397)=FALSE,ISBLANK(Acciones!$H397)=TRUE),"Faltan fechas",IF(Acciones!$H397="","",IF(AND(Acciones!$H397&gt;=TODAY(),ISBLANK(Acciones!$J397)=TRUE),"En tiempo",IF(AND(Acciones!$H397&lt;TODAY(),Acciones!$J397=""),"Retrasado",IF(Acciones!$J397&gt;Acciones!$H397,"Cerrado con retraso","Cerrado")))))</f>
        <v/>
      </c>
      <c r="L397" s="61"/>
      <c r="M397" s="74"/>
      <c r="T397" s="26"/>
      <c r="U397" s="26"/>
    </row>
    <row r="398" spans="2:21" x14ac:dyDescent="0.3">
      <c r="B398" s="53"/>
      <c r="C398" s="65"/>
      <c r="D398" s="61"/>
      <c r="E398" s="56"/>
      <c r="F398" s="53"/>
      <c r="G398" s="53" t="str">
        <f>IF(ISBLANK(Acciones!$H398)=TRUE," ",WEEKNUM(Acciones!$H398,21))</f>
        <v xml:space="preserve"> </v>
      </c>
      <c r="H398" s="53"/>
      <c r="I398" s="66"/>
      <c r="J398" s="53"/>
      <c r="K398" s="48" t="str">
        <f ca="1">IF(AND(ISBLANK(Acciones!$D398)=FALSE,ISBLANK(Acciones!$H398)=TRUE),"Faltan fechas",IF(Acciones!$H398="","",IF(AND(Acciones!$H398&gt;=TODAY(),ISBLANK(Acciones!$J398)=TRUE),"En tiempo",IF(AND(Acciones!$H398&lt;TODAY(),Acciones!$J398=""),"Retrasado",IF(Acciones!$J398&gt;Acciones!$H398,"Cerrado con retraso","Cerrado")))))</f>
        <v/>
      </c>
      <c r="L398" s="61"/>
      <c r="M398" s="74"/>
      <c r="T398" s="26"/>
      <c r="U398" s="26"/>
    </row>
    <row r="399" spans="2:21" x14ac:dyDescent="0.3">
      <c r="B399" s="53"/>
      <c r="C399" s="65"/>
      <c r="D399" s="61"/>
      <c r="E399" s="56"/>
      <c r="F399" s="53"/>
      <c r="G399" s="53" t="str">
        <f>IF(ISBLANK(Acciones!$H399)=TRUE," ",WEEKNUM(Acciones!$H399,21))</f>
        <v xml:space="preserve"> </v>
      </c>
      <c r="H399" s="53"/>
      <c r="I399" s="66"/>
      <c r="J399" s="53"/>
      <c r="K399" s="48" t="str">
        <f ca="1">IF(AND(ISBLANK(Acciones!$D399)=FALSE,ISBLANK(Acciones!$H399)=TRUE),"Faltan fechas",IF(Acciones!$H399="","",IF(AND(Acciones!$H399&gt;=TODAY(),ISBLANK(Acciones!$J399)=TRUE),"En tiempo",IF(AND(Acciones!$H399&lt;TODAY(),Acciones!$J399=""),"Retrasado",IF(Acciones!$J399&gt;Acciones!$H399,"Cerrado con retraso","Cerrado")))))</f>
        <v/>
      </c>
      <c r="L399" s="61"/>
      <c r="M399" s="74"/>
      <c r="T399" s="26"/>
      <c r="U399" s="26"/>
    </row>
    <row r="400" spans="2:21" x14ac:dyDescent="0.3">
      <c r="B400" s="53"/>
      <c r="C400" s="65"/>
      <c r="D400" s="61"/>
      <c r="E400" s="56"/>
      <c r="F400" s="53"/>
      <c r="G400" s="53" t="str">
        <f>IF(ISBLANK(Acciones!$H400)=TRUE," ",WEEKNUM(Acciones!$H400,21))</f>
        <v xml:space="preserve"> </v>
      </c>
      <c r="H400" s="53"/>
      <c r="I400" s="66"/>
      <c r="J400" s="53"/>
      <c r="K400" s="48" t="str">
        <f ca="1">IF(AND(ISBLANK(Acciones!$D400)=FALSE,ISBLANK(Acciones!$H400)=TRUE),"Faltan fechas",IF(Acciones!$H400="","",IF(AND(Acciones!$H400&gt;=TODAY(),ISBLANK(Acciones!$J400)=TRUE),"En tiempo",IF(AND(Acciones!$H400&lt;TODAY(),Acciones!$J400=""),"Retrasado",IF(Acciones!$J400&gt;Acciones!$H400,"Cerrado con retraso","Cerrado")))))</f>
        <v/>
      </c>
      <c r="L400" s="61"/>
      <c r="M400" s="74"/>
      <c r="T400" s="26"/>
      <c r="U400" s="26"/>
    </row>
    <row r="401" spans="2:21" x14ac:dyDescent="0.3">
      <c r="B401" s="53"/>
      <c r="C401" s="65"/>
      <c r="D401" s="61"/>
      <c r="E401" s="56"/>
      <c r="F401" s="53"/>
      <c r="G401" s="53" t="str">
        <f>IF(ISBLANK(Acciones!$H401)=TRUE," ",WEEKNUM(Acciones!$H401,21))</f>
        <v xml:space="preserve"> </v>
      </c>
      <c r="H401" s="53"/>
      <c r="I401" s="66"/>
      <c r="J401" s="53"/>
      <c r="K401" s="48" t="str">
        <f ca="1">IF(AND(ISBLANK(Acciones!$D401)=FALSE,ISBLANK(Acciones!$H401)=TRUE),"Faltan fechas",IF(Acciones!$H401="","",IF(AND(Acciones!$H401&gt;=TODAY(),ISBLANK(Acciones!$J401)=TRUE),"En tiempo",IF(AND(Acciones!$H401&lt;TODAY(),Acciones!$J401=""),"Retrasado",IF(Acciones!$J401&gt;Acciones!$H401,"Cerrado con retraso","Cerrado")))))</f>
        <v/>
      </c>
      <c r="L401" s="61"/>
      <c r="M401" s="74"/>
      <c r="T401" s="26"/>
      <c r="U401" s="26"/>
    </row>
    <row r="402" spans="2:21" x14ac:dyDescent="0.3">
      <c r="B402" s="53"/>
      <c r="C402" s="65"/>
      <c r="D402" s="61"/>
      <c r="E402" s="56"/>
      <c r="F402" s="53"/>
      <c r="G402" s="53" t="str">
        <f>IF(ISBLANK(Acciones!$H402)=TRUE," ",WEEKNUM(Acciones!$H402,21))</f>
        <v xml:space="preserve"> </v>
      </c>
      <c r="H402" s="53"/>
      <c r="I402" s="66"/>
      <c r="J402" s="53"/>
      <c r="K402" s="48" t="str">
        <f ca="1">IF(AND(ISBLANK(Acciones!$D402)=FALSE,ISBLANK(Acciones!$H402)=TRUE),"Faltan fechas",IF(Acciones!$H402="","",IF(AND(Acciones!$H402&gt;=TODAY(),ISBLANK(Acciones!$J402)=TRUE),"En tiempo",IF(AND(Acciones!$H402&lt;TODAY(),Acciones!$J402=""),"Retrasado",IF(Acciones!$J402&gt;Acciones!$H402,"Cerrado con retraso","Cerrado")))))</f>
        <v/>
      </c>
      <c r="L402" s="61"/>
      <c r="M402" s="74"/>
      <c r="T402" s="26"/>
      <c r="U402" s="26"/>
    </row>
    <row r="403" spans="2:21" x14ac:dyDescent="0.3">
      <c r="B403" s="53"/>
      <c r="C403" s="65"/>
      <c r="D403" s="61"/>
      <c r="E403" s="56"/>
      <c r="F403" s="53"/>
      <c r="G403" s="53" t="str">
        <f>IF(ISBLANK(Acciones!$H403)=TRUE," ",WEEKNUM(Acciones!$H403,21))</f>
        <v xml:space="preserve"> </v>
      </c>
      <c r="H403" s="53"/>
      <c r="I403" s="66"/>
      <c r="J403" s="53"/>
      <c r="K403" s="48" t="str">
        <f ca="1">IF(AND(ISBLANK(Acciones!$D403)=FALSE,ISBLANK(Acciones!$H403)=TRUE),"Faltan fechas",IF(Acciones!$H403="","",IF(AND(Acciones!$H403&gt;=TODAY(),ISBLANK(Acciones!$J403)=TRUE),"En tiempo",IF(AND(Acciones!$H403&lt;TODAY(),Acciones!$J403=""),"Retrasado",IF(Acciones!$J403&gt;Acciones!$H403,"Cerrado con retraso","Cerrado")))))</f>
        <v/>
      </c>
      <c r="L403" s="61"/>
      <c r="M403" s="74"/>
      <c r="T403" s="26"/>
      <c r="U403" s="26"/>
    </row>
    <row r="404" spans="2:21" x14ac:dyDescent="0.3">
      <c r="B404" s="53"/>
      <c r="C404" s="65"/>
      <c r="D404" s="61"/>
      <c r="E404" s="56"/>
      <c r="F404" s="53"/>
      <c r="G404" s="53" t="str">
        <f>IF(ISBLANK(Acciones!$H404)=TRUE," ",WEEKNUM(Acciones!$H404,21))</f>
        <v xml:space="preserve"> </v>
      </c>
      <c r="H404" s="53"/>
      <c r="I404" s="66"/>
      <c r="J404" s="53"/>
      <c r="K404" s="48" t="str">
        <f ca="1">IF(AND(ISBLANK(Acciones!$D404)=FALSE,ISBLANK(Acciones!$H404)=TRUE),"Faltan fechas",IF(Acciones!$H404="","",IF(AND(Acciones!$H404&gt;=TODAY(),ISBLANK(Acciones!$J404)=TRUE),"En tiempo",IF(AND(Acciones!$H404&lt;TODAY(),Acciones!$J404=""),"Retrasado",IF(Acciones!$J404&gt;Acciones!$H404,"Cerrado con retraso","Cerrado")))))</f>
        <v/>
      </c>
      <c r="L404" s="61"/>
      <c r="M404" s="74"/>
      <c r="T404" s="26"/>
      <c r="U404" s="26"/>
    </row>
    <row r="405" spans="2:21" x14ac:dyDescent="0.3">
      <c r="B405" s="53"/>
      <c r="C405" s="65"/>
      <c r="D405" s="61"/>
      <c r="E405" s="56"/>
      <c r="F405" s="53"/>
      <c r="G405" s="53" t="str">
        <f>IF(ISBLANK(Acciones!$H405)=TRUE," ",WEEKNUM(Acciones!$H405,21))</f>
        <v xml:space="preserve"> </v>
      </c>
      <c r="H405" s="53"/>
      <c r="I405" s="66"/>
      <c r="J405" s="53"/>
      <c r="K405" s="48" t="str">
        <f ca="1">IF(AND(ISBLANK(Acciones!$D405)=FALSE,ISBLANK(Acciones!$H405)=TRUE),"Faltan fechas",IF(Acciones!$H405="","",IF(AND(Acciones!$H405&gt;=TODAY(),ISBLANK(Acciones!$J405)=TRUE),"En tiempo",IF(AND(Acciones!$H405&lt;TODAY(),Acciones!$J405=""),"Retrasado",IF(Acciones!$J405&gt;Acciones!$H405,"Cerrado con retraso","Cerrado")))))</f>
        <v/>
      </c>
      <c r="L405" s="61"/>
      <c r="M405" s="74"/>
      <c r="T405" s="26"/>
      <c r="U405" s="26"/>
    </row>
    <row r="406" spans="2:21" x14ac:dyDescent="0.3">
      <c r="B406" s="53"/>
      <c r="C406" s="65"/>
      <c r="D406" s="61"/>
      <c r="E406" s="56"/>
      <c r="F406" s="53"/>
      <c r="G406" s="53" t="str">
        <f>IF(ISBLANK(Acciones!$H406)=TRUE," ",WEEKNUM(Acciones!$H406,21))</f>
        <v xml:space="preserve"> </v>
      </c>
      <c r="H406" s="53"/>
      <c r="I406" s="66"/>
      <c r="J406" s="53"/>
      <c r="K406" s="48" t="str">
        <f ca="1">IF(AND(ISBLANK(Acciones!$D406)=FALSE,ISBLANK(Acciones!$H406)=TRUE),"Faltan fechas",IF(Acciones!$H406="","",IF(AND(Acciones!$H406&gt;=TODAY(),ISBLANK(Acciones!$J406)=TRUE),"En tiempo",IF(AND(Acciones!$H406&lt;TODAY(),Acciones!$J406=""),"Retrasado",IF(Acciones!$J406&gt;Acciones!$H406,"Cerrado con retraso","Cerrado")))))</f>
        <v/>
      </c>
      <c r="L406" s="61"/>
      <c r="M406" s="74"/>
      <c r="T406" s="26"/>
      <c r="U406" s="26"/>
    </row>
    <row r="407" spans="2:21" x14ac:dyDescent="0.3">
      <c r="B407" s="53"/>
      <c r="C407" s="65"/>
      <c r="D407" s="61"/>
      <c r="E407" s="56"/>
      <c r="F407" s="53"/>
      <c r="G407" s="53" t="str">
        <f>IF(ISBLANK(Acciones!$H407)=TRUE," ",WEEKNUM(Acciones!$H407,21))</f>
        <v xml:space="preserve"> </v>
      </c>
      <c r="H407" s="53"/>
      <c r="I407" s="66"/>
      <c r="J407" s="53"/>
      <c r="K407" s="48" t="str">
        <f ca="1">IF(AND(ISBLANK(Acciones!$D407)=FALSE,ISBLANK(Acciones!$H407)=TRUE),"Faltan fechas",IF(Acciones!$H407="","",IF(AND(Acciones!$H407&gt;=TODAY(),ISBLANK(Acciones!$J407)=TRUE),"En tiempo",IF(AND(Acciones!$H407&lt;TODAY(),Acciones!$J407=""),"Retrasado",IF(Acciones!$J407&gt;Acciones!$H407,"Cerrado con retraso","Cerrado")))))</f>
        <v/>
      </c>
      <c r="L407" s="61"/>
      <c r="M407" s="74"/>
      <c r="T407" s="26"/>
      <c r="U407" s="26"/>
    </row>
    <row r="408" spans="2:21" x14ac:dyDescent="0.3">
      <c r="B408" s="53"/>
      <c r="C408" s="65"/>
      <c r="D408" s="61"/>
      <c r="E408" s="56"/>
      <c r="F408" s="53"/>
      <c r="G408" s="53" t="str">
        <f>IF(ISBLANK(Acciones!$H408)=TRUE," ",WEEKNUM(Acciones!$H408,21))</f>
        <v xml:space="preserve"> </v>
      </c>
      <c r="H408" s="53"/>
      <c r="I408" s="66"/>
      <c r="J408" s="53"/>
      <c r="K408" s="48" t="str">
        <f ca="1">IF(AND(ISBLANK(Acciones!$D408)=FALSE,ISBLANK(Acciones!$H408)=TRUE),"Faltan fechas",IF(Acciones!$H408="","",IF(AND(Acciones!$H408&gt;=TODAY(),ISBLANK(Acciones!$J408)=TRUE),"En tiempo",IF(AND(Acciones!$H408&lt;TODAY(),Acciones!$J408=""),"Retrasado",IF(Acciones!$J408&gt;Acciones!$H408,"Cerrado con retraso","Cerrado")))))</f>
        <v/>
      </c>
      <c r="L408" s="61"/>
      <c r="M408" s="74"/>
      <c r="T408" s="26"/>
      <c r="U408" s="26"/>
    </row>
    <row r="409" spans="2:21" x14ac:dyDescent="0.3">
      <c r="B409" s="53"/>
      <c r="C409" s="65"/>
      <c r="D409" s="61"/>
      <c r="E409" s="56"/>
      <c r="F409" s="53"/>
      <c r="G409" s="53" t="str">
        <f>IF(ISBLANK(Acciones!$H409)=TRUE," ",WEEKNUM(Acciones!$H409,21))</f>
        <v xml:space="preserve"> </v>
      </c>
      <c r="H409" s="53"/>
      <c r="I409" s="66"/>
      <c r="J409" s="53"/>
      <c r="K409" s="48" t="str">
        <f ca="1">IF(AND(ISBLANK(Acciones!$D409)=FALSE,ISBLANK(Acciones!$H409)=TRUE),"Faltan fechas",IF(Acciones!$H409="","",IF(AND(Acciones!$H409&gt;=TODAY(),ISBLANK(Acciones!$J409)=TRUE),"En tiempo",IF(AND(Acciones!$H409&lt;TODAY(),Acciones!$J409=""),"Retrasado",IF(Acciones!$J409&gt;Acciones!$H409,"Cerrado con retraso","Cerrado")))))</f>
        <v/>
      </c>
      <c r="L409" s="61"/>
      <c r="M409" s="74"/>
      <c r="T409" s="26"/>
      <c r="U409" s="26"/>
    </row>
    <row r="410" spans="2:21" x14ac:dyDescent="0.3">
      <c r="B410" s="53"/>
      <c r="C410" s="65"/>
      <c r="D410" s="61"/>
      <c r="E410" s="56"/>
      <c r="F410" s="53"/>
      <c r="G410" s="53" t="str">
        <f>IF(ISBLANK(Acciones!$H410)=TRUE," ",WEEKNUM(Acciones!$H410,21))</f>
        <v xml:space="preserve"> </v>
      </c>
      <c r="H410" s="53"/>
      <c r="I410" s="66"/>
      <c r="J410" s="53"/>
      <c r="K410" s="48" t="str">
        <f ca="1">IF(AND(ISBLANK(Acciones!$D410)=FALSE,ISBLANK(Acciones!$H410)=TRUE),"Faltan fechas",IF(Acciones!$H410="","",IF(AND(Acciones!$H410&gt;=TODAY(),ISBLANK(Acciones!$J410)=TRUE),"En tiempo",IF(AND(Acciones!$H410&lt;TODAY(),Acciones!$J410=""),"Retrasado",IF(Acciones!$J410&gt;Acciones!$H410,"Cerrado con retraso","Cerrado")))))</f>
        <v/>
      </c>
      <c r="L410" s="61"/>
      <c r="M410" s="74"/>
      <c r="T410" s="26"/>
      <c r="U410" s="26"/>
    </row>
    <row r="411" spans="2:21" x14ac:dyDescent="0.3">
      <c r="B411" s="53"/>
      <c r="C411" s="65"/>
      <c r="D411" s="61"/>
      <c r="E411" s="56"/>
      <c r="F411" s="53"/>
      <c r="G411" s="53" t="str">
        <f>IF(ISBLANK(Acciones!$H411)=TRUE," ",WEEKNUM(Acciones!$H411,21))</f>
        <v xml:space="preserve"> </v>
      </c>
      <c r="H411" s="53"/>
      <c r="I411" s="66"/>
      <c r="J411" s="53"/>
      <c r="K411" s="48" t="str">
        <f ca="1">IF(AND(ISBLANK(Acciones!$D411)=FALSE,ISBLANK(Acciones!$H411)=TRUE),"Faltan fechas",IF(Acciones!$H411="","",IF(AND(Acciones!$H411&gt;=TODAY(),ISBLANK(Acciones!$J411)=TRUE),"En tiempo",IF(AND(Acciones!$H411&lt;TODAY(),Acciones!$J411=""),"Retrasado",IF(Acciones!$J411&gt;Acciones!$H411,"Cerrado con retraso","Cerrado")))))</f>
        <v/>
      </c>
      <c r="L411" s="61"/>
      <c r="M411" s="74"/>
      <c r="T411" s="26"/>
      <c r="U411" s="26"/>
    </row>
    <row r="412" spans="2:21" x14ac:dyDescent="0.3">
      <c r="B412" s="53"/>
      <c r="C412" s="65"/>
      <c r="D412" s="61"/>
      <c r="E412" s="56"/>
      <c r="F412" s="53"/>
      <c r="G412" s="53" t="str">
        <f>IF(ISBLANK(Acciones!$H412)=TRUE," ",WEEKNUM(Acciones!$H412,21))</f>
        <v xml:space="preserve"> </v>
      </c>
      <c r="H412" s="53"/>
      <c r="I412" s="66"/>
      <c r="J412" s="53"/>
      <c r="K412" s="48" t="str">
        <f ca="1">IF(AND(ISBLANK(Acciones!$D412)=FALSE,ISBLANK(Acciones!$H412)=TRUE),"Faltan fechas",IF(Acciones!$H412="","",IF(AND(Acciones!$H412&gt;=TODAY(),ISBLANK(Acciones!$J412)=TRUE),"En tiempo",IF(AND(Acciones!$H412&lt;TODAY(),Acciones!$J412=""),"Retrasado",IF(Acciones!$J412&gt;Acciones!$H412,"Cerrado con retraso","Cerrado")))))</f>
        <v/>
      </c>
      <c r="L412" s="61"/>
      <c r="M412" s="74"/>
      <c r="T412" s="26"/>
      <c r="U412" s="26"/>
    </row>
    <row r="413" spans="2:21" x14ac:dyDescent="0.3">
      <c r="B413" s="53"/>
      <c r="C413" s="65"/>
      <c r="D413" s="61"/>
      <c r="E413" s="56"/>
      <c r="F413" s="53"/>
      <c r="G413" s="53" t="str">
        <f>IF(ISBLANK(Acciones!$H413)=TRUE," ",WEEKNUM(Acciones!$H413,21))</f>
        <v xml:space="preserve"> </v>
      </c>
      <c r="H413" s="53"/>
      <c r="I413" s="66"/>
      <c r="J413" s="53"/>
      <c r="K413" s="48" t="str">
        <f ca="1">IF(AND(ISBLANK(Acciones!$D413)=FALSE,ISBLANK(Acciones!$H413)=TRUE),"Faltan fechas",IF(Acciones!$H413="","",IF(AND(Acciones!$H413&gt;=TODAY(),ISBLANK(Acciones!$J413)=TRUE),"En tiempo",IF(AND(Acciones!$H413&lt;TODAY(),Acciones!$J413=""),"Retrasado",IF(Acciones!$J413&gt;Acciones!$H413,"Cerrado con retraso","Cerrado")))))</f>
        <v/>
      </c>
      <c r="L413" s="61"/>
      <c r="M413" s="74"/>
      <c r="T413" s="26"/>
      <c r="U413" s="26"/>
    </row>
    <row r="414" spans="2:21" x14ac:dyDescent="0.3">
      <c r="B414" s="53"/>
      <c r="C414" s="65"/>
      <c r="D414" s="61"/>
      <c r="E414" s="56"/>
      <c r="F414" s="53"/>
      <c r="G414" s="53" t="str">
        <f>IF(ISBLANK(Acciones!$H414)=TRUE," ",WEEKNUM(Acciones!$H414,21))</f>
        <v xml:space="preserve"> </v>
      </c>
      <c r="H414" s="53"/>
      <c r="I414" s="66"/>
      <c r="J414" s="53"/>
      <c r="K414" s="48" t="str">
        <f ca="1">IF(AND(ISBLANK(Acciones!$D414)=FALSE,ISBLANK(Acciones!$H414)=TRUE),"Faltan fechas",IF(Acciones!$H414="","",IF(AND(Acciones!$H414&gt;=TODAY(),ISBLANK(Acciones!$J414)=TRUE),"En tiempo",IF(AND(Acciones!$H414&lt;TODAY(),Acciones!$J414=""),"Retrasado",IF(Acciones!$J414&gt;Acciones!$H414,"Cerrado con retraso","Cerrado")))))</f>
        <v/>
      </c>
      <c r="L414" s="61"/>
      <c r="M414" s="74"/>
      <c r="T414" s="26"/>
      <c r="U414" s="26"/>
    </row>
    <row r="415" spans="2:21" x14ac:dyDescent="0.3">
      <c r="B415" s="53"/>
      <c r="C415" s="65"/>
      <c r="D415" s="61"/>
      <c r="E415" s="56"/>
      <c r="F415" s="53"/>
      <c r="G415" s="53" t="str">
        <f>IF(ISBLANK(Acciones!$H415)=TRUE," ",WEEKNUM(Acciones!$H415,21))</f>
        <v xml:space="preserve"> </v>
      </c>
      <c r="H415" s="53"/>
      <c r="I415" s="66"/>
      <c r="J415" s="53"/>
      <c r="K415" s="48" t="str">
        <f ca="1">IF(AND(ISBLANK(Acciones!$D415)=FALSE,ISBLANK(Acciones!$H415)=TRUE),"Faltan fechas",IF(Acciones!$H415="","",IF(AND(Acciones!$H415&gt;=TODAY(),ISBLANK(Acciones!$J415)=TRUE),"En tiempo",IF(AND(Acciones!$H415&lt;TODAY(),Acciones!$J415=""),"Retrasado",IF(Acciones!$J415&gt;Acciones!$H415,"Cerrado con retraso","Cerrado")))))</f>
        <v/>
      </c>
      <c r="L415" s="61"/>
      <c r="M415" s="74"/>
      <c r="T415" s="26"/>
      <c r="U415" s="26"/>
    </row>
    <row r="416" spans="2:21" x14ac:dyDescent="0.3">
      <c r="B416" s="53"/>
      <c r="C416" s="65"/>
      <c r="D416" s="61"/>
      <c r="E416" s="56"/>
      <c r="F416" s="53"/>
      <c r="G416" s="53" t="str">
        <f>IF(ISBLANK(Acciones!$H416)=TRUE," ",WEEKNUM(Acciones!$H416,21))</f>
        <v xml:space="preserve"> </v>
      </c>
      <c r="H416" s="53"/>
      <c r="I416" s="66"/>
      <c r="J416" s="53"/>
      <c r="K416" s="48" t="str">
        <f ca="1">IF(AND(ISBLANK(Acciones!$D416)=FALSE,ISBLANK(Acciones!$H416)=TRUE),"Faltan fechas",IF(Acciones!$H416="","",IF(AND(Acciones!$H416&gt;=TODAY(),ISBLANK(Acciones!$J416)=TRUE),"En tiempo",IF(AND(Acciones!$H416&lt;TODAY(),Acciones!$J416=""),"Retrasado",IF(Acciones!$J416&gt;Acciones!$H416,"Cerrado con retraso","Cerrado")))))</f>
        <v/>
      </c>
      <c r="L416" s="61"/>
      <c r="M416" s="74"/>
      <c r="T416" s="26"/>
      <c r="U416" s="26"/>
    </row>
    <row r="417" spans="2:21" x14ac:dyDescent="0.3">
      <c r="B417" s="53"/>
      <c r="C417" s="65"/>
      <c r="D417" s="61"/>
      <c r="E417" s="56"/>
      <c r="F417" s="53"/>
      <c r="G417" s="53" t="str">
        <f>IF(ISBLANK(Acciones!$H417)=TRUE," ",WEEKNUM(Acciones!$H417,21))</f>
        <v xml:space="preserve"> </v>
      </c>
      <c r="H417" s="53"/>
      <c r="I417" s="66"/>
      <c r="J417" s="53"/>
      <c r="K417" s="48" t="str">
        <f ca="1">IF(AND(ISBLANK(Acciones!$D417)=FALSE,ISBLANK(Acciones!$H417)=TRUE),"Faltan fechas",IF(Acciones!$H417="","",IF(AND(Acciones!$H417&gt;=TODAY(),ISBLANK(Acciones!$J417)=TRUE),"En tiempo",IF(AND(Acciones!$H417&lt;TODAY(),Acciones!$J417=""),"Retrasado",IF(Acciones!$J417&gt;Acciones!$H417,"Cerrado con retraso","Cerrado")))))</f>
        <v/>
      </c>
      <c r="L417" s="61"/>
      <c r="M417" s="74"/>
      <c r="T417" s="26"/>
      <c r="U417" s="26"/>
    </row>
    <row r="418" spans="2:21" x14ac:dyDescent="0.3">
      <c r="B418" s="53"/>
      <c r="C418" s="65"/>
      <c r="D418" s="61"/>
      <c r="E418" s="56"/>
      <c r="F418" s="53"/>
      <c r="G418" s="53" t="str">
        <f>IF(ISBLANK(Acciones!$H418)=TRUE," ",WEEKNUM(Acciones!$H418,21))</f>
        <v xml:space="preserve"> </v>
      </c>
      <c r="H418" s="53"/>
      <c r="I418" s="66"/>
      <c r="J418" s="53"/>
      <c r="K418" s="48" t="str">
        <f ca="1">IF(AND(ISBLANK(Acciones!$D418)=FALSE,ISBLANK(Acciones!$H418)=TRUE),"Faltan fechas",IF(Acciones!$H418="","",IF(AND(Acciones!$H418&gt;=TODAY(),ISBLANK(Acciones!$J418)=TRUE),"En tiempo",IF(AND(Acciones!$H418&lt;TODAY(),Acciones!$J418=""),"Retrasado",IF(Acciones!$J418&gt;Acciones!$H418,"Cerrado con retraso","Cerrado")))))</f>
        <v/>
      </c>
      <c r="L418" s="61"/>
      <c r="M418" s="74"/>
      <c r="T418" s="26"/>
      <c r="U418" s="26"/>
    </row>
    <row r="419" spans="2:21" x14ac:dyDescent="0.3">
      <c r="B419" s="53"/>
      <c r="C419" s="65"/>
      <c r="D419" s="61"/>
      <c r="E419" s="56"/>
      <c r="F419" s="53"/>
      <c r="G419" s="53" t="str">
        <f>IF(ISBLANK(Acciones!$H419)=TRUE," ",WEEKNUM(Acciones!$H419,21))</f>
        <v xml:space="preserve"> </v>
      </c>
      <c r="H419" s="53"/>
      <c r="I419" s="66"/>
      <c r="J419" s="53"/>
      <c r="K419" s="48" t="str">
        <f ca="1">IF(AND(ISBLANK(Acciones!$D419)=FALSE,ISBLANK(Acciones!$H419)=TRUE),"Faltan fechas",IF(Acciones!$H419="","",IF(AND(Acciones!$H419&gt;=TODAY(),ISBLANK(Acciones!$J419)=TRUE),"En tiempo",IF(AND(Acciones!$H419&lt;TODAY(),Acciones!$J419=""),"Retrasado",IF(Acciones!$J419&gt;Acciones!$H419,"Cerrado con retraso","Cerrado")))))</f>
        <v/>
      </c>
      <c r="L419" s="61"/>
      <c r="M419" s="74"/>
      <c r="T419" s="26"/>
      <c r="U419" s="26"/>
    </row>
    <row r="420" spans="2:21" x14ac:dyDescent="0.3">
      <c r="B420" s="53"/>
      <c r="C420" s="65"/>
      <c r="D420" s="61"/>
      <c r="E420" s="56"/>
      <c r="F420" s="53"/>
      <c r="G420" s="53" t="str">
        <f>IF(ISBLANK(Acciones!$H420)=TRUE," ",WEEKNUM(Acciones!$H420,21))</f>
        <v xml:space="preserve"> </v>
      </c>
      <c r="H420" s="53"/>
      <c r="I420" s="66"/>
      <c r="J420" s="53"/>
      <c r="K420" s="48" t="str">
        <f ca="1">IF(AND(ISBLANK(Acciones!$D420)=FALSE,ISBLANK(Acciones!$H420)=TRUE),"Faltan fechas",IF(Acciones!$H420="","",IF(AND(Acciones!$H420&gt;=TODAY(),ISBLANK(Acciones!$J420)=TRUE),"En tiempo",IF(AND(Acciones!$H420&lt;TODAY(),Acciones!$J420=""),"Retrasado",IF(Acciones!$J420&gt;Acciones!$H420,"Cerrado con retraso","Cerrado")))))</f>
        <v/>
      </c>
      <c r="L420" s="61"/>
      <c r="M420" s="74"/>
      <c r="T420" s="26"/>
      <c r="U420" s="26"/>
    </row>
    <row r="421" spans="2:21" x14ac:dyDescent="0.3">
      <c r="B421" s="53"/>
      <c r="C421" s="65"/>
      <c r="D421" s="61"/>
      <c r="E421" s="56"/>
      <c r="F421" s="53"/>
      <c r="G421" s="53" t="str">
        <f>IF(ISBLANK(Acciones!$H421)=TRUE," ",WEEKNUM(Acciones!$H421,21))</f>
        <v xml:space="preserve"> </v>
      </c>
      <c r="H421" s="53"/>
      <c r="I421" s="66"/>
      <c r="J421" s="53"/>
      <c r="K421" s="48" t="str">
        <f ca="1">IF(AND(ISBLANK(Acciones!$D421)=FALSE,ISBLANK(Acciones!$H421)=TRUE),"Faltan fechas",IF(Acciones!$H421="","",IF(AND(Acciones!$H421&gt;=TODAY(),ISBLANK(Acciones!$J421)=TRUE),"En tiempo",IF(AND(Acciones!$H421&lt;TODAY(),Acciones!$J421=""),"Retrasado",IF(Acciones!$J421&gt;Acciones!$H421,"Cerrado con retraso","Cerrado")))))</f>
        <v/>
      </c>
      <c r="L421" s="61"/>
      <c r="M421" s="74"/>
      <c r="T421" s="26"/>
      <c r="U421" s="26"/>
    </row>
    <row r="422" spans="2:21" x14ac:dyDescent="0.3">
      <c r="B422" s="53"/>
      <c r="C422" s="65"/>
      <c r="D422" s="61"/>
      <c r="E422" s="56"/>
      <c r="F422" s="53"/>
      <c r="G422" s="53" t="str">
        <f>IF(ISBLANK(Acciones!$H422)=TRUE," ",WEEKNUM(Acciones!$H422,21))</f>
        <v xml:space="preserve"> </v>
      </c>
      <c r="H422" s="53"/>
      <c r="I422" s="66"/>
      <c r="J422" s="53"/>
      <c r="K422" s="48" t="str">
        <f ca="1">IF(AND(ISBLANK(Acciones!$D422)=FALSE,ISBLANK(Acciones!$H422)=TRUE),"Faltan fechas",IF(Acciones!$H422="","",IF(AND(Acciones!$H422&gt;=TODAY(),ISBLANK(Acciones!$J422)=TRUE),"En tiempo",IF(AND(Acciones!$H422&lt;TODAY(),Acciones!$J422=""),"Retrasado",IF(Acciones!$J422&gt;Acciones!$H422,"Cerrado con retraso","Cerrado")))))</f>
        <v/>
      </c>
      <c r="L422" s="61"/>
      <c r="M422" s="74"/>
      <c r="T422" s="26"/>
      <c r="U422" s="26"/>
    </row>
    <row r="423" spans="2:21" x14ac:dyDescent="0.3">
      <c r="B423" s="53"/>
      <c r="C423" s="65"/>
      <c r="D423" s="61"/>
      <c r="E423" s="56"/>
      <c r="F423" s="53"/>
      <c r="G423" s="53" t="str">
        <f>IF(ISBLANK(Acciones!$H423)=TRUE," ",WEEKNUM(Acciones!$H423,21))</f>
        <v xml:space="preserve"> </v>
      </c>
      <c r="H423" s="53"/>
      <c r="I423" s="66"/>
      <c r="J423" s="53"/>
      <c r="K423" s="48" t="str">
        <f ca="1">IF(AND(ISBLANK(Acciones!$D423)=FALSE,ISBLANK(Acciones!$H423)=TRUE),"Faltan fechas",IF(Acciones!$H423="","",IF(AND(Acciones!$H423&gt;=TODAY(),ISBLANK(Acciones!$J423)=TRUE),"En tiempo",IF(AND(Acciones!$H423&lt;TODAY(),Acciones!$J423=""),"Retrasado",IF(Acciones!$J423&gt;Acciones!$H423,"Cerrado con retraso","Cerrado")))))</f>
        <v/>
      </c>
      <c r="L423" s="61"/>
      <c r="M423" s="74"/>
      <c r="T423" s="26"/>
      <c r="U423" s="26"/>
    </row>
    <row r="424" spans="2:21" x14ac:dyDescent="0.3">
      <c r="B424" s="53"/>
      <c r="C424" s="65"/>
      <c r="D424" s="61"/>
      <c r="E424" s="56"/>
      <c r="F424" s="53"/>
      <c r="G424" s="53" t="str">
        <f>IF(ISBLANK(Acciones!$H424)=TRUE," ",WEEKNUM(Acciones!$H424,21))</f>
        <v xml:space="preserve"> </v>
      </c>
      <c r="H424" s="53"/>
      <c r="I424" s="66"/>
      <c r="J424" s="53"/>
      <c r="K424" s="48" t="str">
        <f ca="1">IF(AND(ISBLANK(Acciones!$D424)=FALSE,ISBLANK(Acciones!$H424)=TRUE),"Faltan fechas",IF(Acciones!$H424="","",IF(AND(Acciones!$H424&gt;=TODAY(),ISBLANK(Acciones!$J424)=TRUE),"En tiempo",IF(AND(Acciones!$H424&lt;TODAY(),Acciones!$J424=""),"Retrasado",IF(Acciones!$J424&gt;Acciones!$H424,"Cerrado con retraso","Cerrado")))))</f>
        <v/>
      </c>
      <c r="L424" s="61"/>
      <c r="M424" s="74"/>
      <c r="T424" s="26"/>
      <c r="U424" s="26"/>
    </row>
    <row r="425" spans="2:21" x14ac:dyDescent="0.3">
      <c r="B425" s="53"/>
      <c r="C425" s="65"/>
      <c r="D425" s="61"/>
      <c r="E425" s="56"/>
      <c r="F425" s="53"/>
      <c r="G425" s="53" t="str">
        <f>IF(ISBLANK(Acciones!$H425)=TRUE," ",WEEKNUM(Acciones!$H425,21))</f>
        <v xml:space="preserve"> </v>
      </c>
      <c r="H425" s="53"/>
      <c r="I425" s="66"/>
      <c r="J425" s="53"/>
      <c r="K425" s="48" t="str">
        <f ca="1">IF(AND(ISBLANK(Acciones!$D425)=FALSE,ISBLANK(Acciones!$H425)=TRUE),"Faltan fechas",IF(Acciones!$H425="","",IF(AND(Acciones!$H425&gt;=TODAY(),ISBLANK(Acciones!$J425)=TRUE),"En tiempo",IF(AND(Acciones!$H425&lt;TODAY(),Acciones!$J425=""),"Retrasado",IF(Acciones!$J425&gt;Acciones!$H425,"Cerrado con retraso","Cerrado")))))</f>
        <v/>
      </c>
      <c r="L425" s="61"/>
      <c r="M425" s="74"/>
      <c r="T425" s="26"/>
      <c r="U425" s="26"/>
    </row>
    <row r="426" spans="2:21" x14ac:dyDescent="0.3">
      <c r="B426" s="53"/>
      <c r="C426" s="65"/>
      <c r="D426" s="61"/>
      <c r="E426" s="56"/>
      <c r="F426" s="53"/>
      <c r="G426" s="53" t="str">
        <f>IF(ISBLANK(Acciones!$H426)=TRUE," ",WEEKNUM(Acciones!$H426,21))</f>
        <v xml:space="preserve"> </v>
      </c>
      <c r="H426" s="53"/>
      <c r="I426" s="66"/>
      <c r="J426" s="53"/>
      <c r="K426" s="48" t="str">
        <f ca="1">IF(AND(ISBLANK(Acciones!$D426)=FALSE,ISBLANK(Acciones!$H426)=TRUE),"Faltan fechas",IF(Acciones!$H426="","",IF(AND(Acciones!$H426&gt;=TODAY(),ISBLANK(Acciones!$J426)=TRUE),"En tiempo",IF(AND(Acciones!$H426&lt;TODAY(),Acciones!$J426=""),"Retrasado",IF(Acciones!$J426&gt;Acciones!$H426,"Cerrado con retraso","Cerrado")))))</f>
        <v/>
      </c>
      <c r="L426" s="61"/>
      <c r="M426" s="74"/>
      <c r="T426" s="26"/>
      <c r="U426" s="26"/>
    </row>
    <row r="427" spans="2:21" x14ac:dyDescent="0.3">
      <c r="B427" s="53"/>
      <c r="C427" s="65"/>
      <c r="D427" s="61"/>
      <c r="E427" s="56"/>
      <c r="F427" s="53"/>
      <c r="G427" s="53" t="str">
        <f>IF(ISBLANK(Acciones!$H427)=TRUE," ",WEEKNUM(Acciones!$H427,21))</f>
        <v xml:space="preserve"> </v>
      </c>
      <c r="H427" s="53"/>
      <c r="I427" s="66"/>
      <c r="J427" s="53"/>
      <c r="K427" s="48" t="str">
        <f ca="1">IF(AND(ISBLANK(Acciones!$D427)=FALSE,ISBLANK(Acciones!$H427)=TRUE),"Faltan fechas",IF(Acciones!$H427="","",IF(AND(Acciones!$H427&gt;=TODAY(),ISBLANK(Acciones!$J427)=TRUE),"En tiempo",IF(AND(Acciones!$H427&lt;TODAY(),Acciones!$J427=""),"Retrasado",IF(Acciones!$J427&gt;Acciones!$H427,"Cerrado con retraso","Cerrado")))))</f>
        <v/>
      </c>
      <c r="L427" s="61"/>
      <c r="M427" s="74"/>
      <c r="T427" s="26"/>
      <c r="U427" s="26"/>
    </row>
    <row r="428" spans="2:21" x14ac:dyDescent="0.3">
      <c r="B428" s="53"/>
      <c r="C428" s="65"/>
      <c r="D428" s="61"/>
      <c r="E428" s="56"/>
      <c r="F428" s="53"/>
      <c r="G428" s="53" t="str">
        <f>IF(ISBLANK(Acciones!$H428)=TRUE," ",WEEKNUM(Acciones!$H428,21))</f>
        <v xml:space="preserve"> </v>
      </c>
      <c r="H428" s="53"/>
      <c r="I428" s="66"/>
      <c r="J428" s="53"/>
      <c r="K428" s="48" t="str">
        <f ca="1">IF(AND(ISBLANK(Acciones!$D428)=FALSE,ISBLANK(Acciones!$H428)=TRUE),"Faltan fechas",IF(Acciones!$H428="","",IF(AND(Acciones!$H428&gt;=TODAY(),ISBLANK(Acciones!$J428)=TRUE),"En tiempo",IF(AND(Acciones!$H428&lt;TODAY(),Acciones!$J428=""),"Retrasado",IF(Acciones!$J428&gt;Acciones!$H428,"Cerrado con retraso","Cerrado")))))</f>
        <v/>
      </c>
      <c r="L428" s="61"/>
      <c r="M428" s="74"/>
      <c r="T428" s="26"/>
      <c r="U428" s="26"/>
    </row>
    <row r="429" spans="2:21" x14ac:dyDescent="0.3">
      <c r="B429" s="53"/>
      <c r="C429" s="65"/>
      <c r="D429" s="61"/>
      <c r="E429" s="56"/>
      <c r="F429" s="53"/>
      <c r="G429" s="53" t="str">
        <f>IF(ISBLANK(Acciones!$H429)=TRUE," ",WEEKNUM(Acciones!$H429,21))</f>
        <v xml:space="preserve"> </v>
      </c>
      <c r="H429" s="53"/>
      <c r="I429" s="66"/>
      <c r="J429" s="53"/>
      <c r="K429" s="48" t="str">
        <f ca="1">IF(AND(ISBLANK(Acciones!$D429)=FALSE,ISBLANK(Acciones!$H429)=TRUE),"Faltan fechas",IF(Acciones!$H429="","",IF(AND(Acciones!$H429&gt;=TODAY(),ISBLANK(Acciones!$J429)=TRUE),"En tiempo",IF(AND(Acciones!$H429&lt;TODAY(),Acciones!$J429=""),"Retrasado",IF(Acciones!$J429&gt;Acciones!$H429,"Cerrado con retraso","Cerrado")))))</f>
        <v/>
      </c>
      <c r="L429" s="61"/>
      <c r="M429" s="74"/>
      <c r="T429" s="26"/>
      <c r="U429" s="26"/>
    </row>
    <row r="430" spans="2:21" x14ac:dyDescent="0.3">
      <c r="B430" s="53"/>
      <c r="C430" s="65"/>
      <c r="D430" s="61"/>
      <c r="E430" s="56"/>
      <c r="F430" s="53"/>
      <c r="G430" s="53" t="str">
        <f>IF(ISBLANK(Acciones!$H430)=TRUE," ",WEEKNUM(Acciones!$H430,21))</f>
        <v xml:space="preserve"> </v>
      </c>
      <c r="H430" s="53"/>
      <c r="I430" s="66"/>
      <c r="J430" s="53"/>
      <c r="K430" s="48" t="str">
        <f ca="1">IF(AND(ISBLANK(Acciones!$D430)=FALSE,ISBLANK(Acciones!$H430)=TRUE),"Faltan fechas",IF(Acciones!$H430="","",IF(AND(Acciones!$H430&gt;=TODAY(),ISBLANK(Acciones!$J430)=TRUE),"En tiempo",IF(AND(Acciones!$H430&lt;TODAY(),Acciones!$J430=""),"Retrasado",IF(Acciones!$J430&gt;Acciones!$H430,"Cerrado con retraso","Cerrado")))))</f>
        <v/>
      </c>
      <c r="L430" s="61"/>
      <c r="M430" s="74"/>
      <c r="T430" s="26"/>
      <c r="U430" s="26"/>
    </row>
    <row r="431" spans="2:21" x14ac:dyDescent="0.3">
      <c r="B431" s="53"/>
      <c r="C431" s="65"/>
      <c r="D431" s="61"/>
      <c r="E431" s="56"/>
      <c r="F431" s="53"/>
      <c r="G431" s="53" t="str">
        <f>IF(ISBLANK(Acciones!$H431)=TRUE," ",WEEKNUM(Acciones!$H431,21))</f>
        <v xml:space="preserve"> </v>
      </c>
      <c r="H431" s="53"/>
      <c r="I431" s="66"/>
      <c r="J431" s="53"/>
      <c r="K431" s="48" t="str">
        <f ca="1">IF(AND(ISBLANK(Acciones!$D431)=FALSE,ISBLANK(Acciones!$H431)=TRUE),"Faltan fechas",IF(Acciones!$H431="","",IF(AND(Acciones!$H431&gt;=TODAY(),ISBLANK(Acciones!$J431)=TRUE),"En tiempo",IF(AND(Acciones!$H431&lt;TODAY(),Acciones!$J431=""),"Retrasado",IF(Acciones!$J431&gt;Acciones!$H431,"Cerrado con retraso","Cerrado")))))</f>
        <v/>
      </c>
      <c r="L431" s="61"/>
      <c r="M431" s="74"/>
      <c r="T431" s="26"/>
      <c r="U431" s="26"/>
    </row>
    <row r="432" spans="2:21" x14ac:dyDescent="0.3">
      <c r="B432" s="53"/>
      <c r="C432" s="65"/>
      <c r="D432" s="61"/>
      <c r="E432" s="56"/>
      <c r="F432" s="53"/>
      <c r="G432" s="53" t="str">
        <f>IF(ISBLANK(Acciones!$H432)=TRUE," ",WEEKNUM(Acciones!$H432,21))</f>
        <v xml:space="preserve"> </v>
      </c>
      <c r="H432" s="53"/>
      <c r="I432" s="66"/>
      <c r="J432" s="53"/>
      <c r="K432" s="48" t="str">
        <f ca="1">IF(AND(ISBLANK(Acciones!$D432)=FALSE,ISBLANK(Acciones!$H432)=TRUE),"Faltan fechas",IF(Acciones!$H432="","",IF(AND(Acciones!$H432&gt;=TODAY(),ISBLANK(Acciones!$J432)=TRUE),"En tiempo",IF(AND(Acciones!$H432&lt;TODAY(),Acciones!$J432=""),"Retrasado",IF(Acciones!$J432&gt;Acciones!$H432,"Cerrado con retraso","Cerrado")))))</f>
        <v/>
      </c>
      <c r="L432" s="61"/>
      <c r="M432" s="74"/>
      <c r="T432" s="26"/>
      <c r="U432" s="26"/>
    </row>
    <row r="433" spans="2:21" x14ac:dyDescent="0.3">
      <c r="B433" s="53"/>
      <c r="C433" s="65"/>
      <c r="D433" s="61"/>
      <c r="E433" s="56"/>
      <c r="F433" s="53"/>
      <c r="G433" s="53" t="str">
        <f>IF(ISBLANK(Acciones!$H433)=TRUE," ",WEEKNUM(Acciones!$H433,21))</f>
        <v xml:space="preserve"> </v>
      </c>
      <c r="H433" s="53"/>
      <c r="I433" s="66"/>
      <c r="J433" s="53"/>
      <c r="K433" s="48" t="str">
        <f ca="1">IF(AND(ISBLANK(Acciones!$D433)=FALSE,ISBLANK(Acciones!$H433)=TRUE),"Faltan fechas",IF(Acciones!$H433="","",IF(AND(Acciones!$H433&gt;=TODAY(),ISBLANK(Acciones!$J433)=TRUE),"En tiempo",IF(AND(Acciones!$H433&lt;TODAY(),Acciones!$J433=""),"Retrasado",IF(Acciones!$J433&gt;Acciones!$H433,"Cerrado con retraso","Cerrado")))))</f>
        <v/>
      </c>
      <c r="L433" s="61"/>
      <c r="M433" s="74"/>
      <c r="T433" s="26"/>
      <c r="U433" s="26"/>
    </row>
    <row r="434" spans="2:21" x14ac:dyDescent="0.3">
      <c r="B434" s="53"/>
      <c r="C434" s="65"/>
      <c r="D434" s="61"/>
      <c r="E434" s="56"/>
      <c r="F434" s="53"/>
      <c r="G434" s="53" t="str">
        <f>IF(ISBLANK(Acciones!$H434)=TRUE," ",WEEKNUM(Acciones!$H434,21))</f>
        <v xml:space="preserve"> </v>
      </c>
      <c r="H434" s="53"/>
      <c r="I434" s="66"/>
      <c r="J434" s="53"/>
      <c r="K434" s="48" t="str">
        <f ca="1">IF(AND(ISBLANK(Acciones!$D434)=FALSE,ISBLANK(Acciones!$H434)=TRUE),"Faltan fechas",IF(Acciones!$H434="","",IF(AND(Acciones!$H434&gt;=TODAY(),ISBLANK(Acciones!$J434)=TRUE),"En tiempo",IF(AND(Acciones!$H434&lt;TODAY(),Acciones!$J434=""),"Retrasado",IF(Acciones!$J434&gt;Acciones!$H434,"Cerrado con retraso","Cerrado")))))</f>
        <v/>
      </c>
      <c r="L434" s="61"/>
      <c r="M434" s="74"/>
      <c r="T434" s="26"/>
      <c r="U434" s="26"/>
    </row>
    <row r="435" spans="2:21" x14ac:dyDescent="0.3">
      <c r="B435" s="53"/>
      <c r="C435" s="65"/>
      <c r="D435" s="61"/>
      <c r="E435" s="56"/>
      <c r="F435" s="53"/>
      <c r="G435" s="53" t="str">
        <f>IF(ISBLANK(Acciones!$H435)=TRUE," ",WEEKNUM(Acciones!$H435,21))</f>
        <v xml:space="preserve"> </v>
      </c>
      <c r="H435" s="53"/>
      <c r="I435" s="66"/>
      <c r="J435" s="53"/>
      <c r="K435" s="48" t="str">
        <f ca="1">IF(AND(ISBLANK(Acciones!$D435)=FALSE,ISBLANK(Acciones!$H435)=TRUE),"Faltan fechas",IF(Acciones!$H435="","",IF(AND(Acciones!$H435&gt;=TODAY(),ISBLANK(Acciones!$J435)=TRUE),"En tiempo",IF(AND(Acciones!$H435&lt;TODAY(),Acciones!$J435=""),"Retrasado",IF(Acciones!$J435&gt;Acciones!$H435,"Cerrado con retraso","Cerrado")))))</f>
        <v/>
      </c>
      <c r="L435" s="61"/>
      <c r="M435" s="74"/>
      <c r="T435" s="26"/>
      <c r="U435" s="26"/>
    </row>
    <row r="436" spans="2:21" x14ac:dyDescent="0.3">
      <c r="B436" s="53"/>
      <c r="C436" s="65"/>
      <c r="D436" s="61"/>
      <c r="E436" s="56"/>
      <c r="F436" s="53"/>
      <c r="G436" s="53" t="str">
        <f>IF(ISBLANK(Acciones!$H436)=TRUE," ",WEEKNUM(Acciones!$H436,21))</f>
        <v xml:space="preserve"> </v>
      </c>
      <c r="H436" s="53"/>
      <c r="I436" s="66"/>
      <c r="J436" s="53"/>
      <c r="K436" s="48" t="str">
        <f ca="1">IF(AND(ISBLANK(Acciones!$D436)=FALSE,ISBLANK(Acciones!$H436)=TRUE),"Faltan fechas",IF(Acciones!$H436="","",IF(AND(Acciones!$H436&gt;=TODAY(),ISBLANK(Acciones!$J436)=TRUE),"En tiempo",IF(AND(Acciones!$H436&lt;TODAY(),Acciones!$J436=""),"Retrasado",IF(Acciones!$J436&gt;Acciones!$H436,"Cerrado con retraso","Cerrado")))))</f>
        <v/>
      </c>
      <c r="L436" s="61"/>
      <c r="M436" s="74"/>
      <c r="T436" s="26"/>
      <c r="U436" s="26"/>
    </row>
    <row r="437" spans="2:21" x14ac:dyDescent="0.3">
      <c r="B437" s="53"/>
      <c r="C437" s="65"/>
      <c r="D437" s="61"/>
      <c r="E437" s="56"/>
      <c r="F437" s="53"/>
      <c r="G437" s="53" t="str">
        <f>IF(ISBLANK(Acciones!$H437)=TRUE," ",WEEKNUM(Acciones!$H437,21))</f>
        <v xml:space="preserve"> </v>
      </c>
      <c r="H437" s="53"/>
      <c r="I437" s="66"/>
      <c r="J437" s="53"/>
      <c r="K437" s="48" t="str">
        <f ca="1">IF(AND(ISBLANK(Acciones!$D437)=FALSE,ISBLANK(Acciones!$H437)=TRUE),"Faltan fechas",IF(Acciones!$H437="","",IF(AND(Acciones!$H437&gt;=TODAY(),ISBLANK(Acciones!$J437)=TRUE),"En tiempo",IF(AND(Acciones!$H437&lt;TODAY(),Acciones!$J437=""),"Retrasado",IF(Acciones!$J437&gt;Acciones!$H437,"Cerrado con retraso","Cerrado")))))</f>
        <v/>
      </c>
      <c r="L437" s="61"/>
      <c r="M437" s="74"/>
      <c r="T437" s="26"/>
      <c r="U437" s="26"/>
    </row>
    <row r="438" spans="2:21" x14ac:dyDescent="0.3">
      <c r="B438" s="53"/>
      <c r="C438" s="65"/>
      <c r="D438" s="61"/>
      <c r="E438" s="56"/>
      <c r="F438" s="53"/>
      <c r="G438" s="53" t="str">
        <f>IF(ISBLANK(Acciones!$H438)=TRUE," ",WEEKNUM(Acciones!$H438,21))</f>
        <v xml:space="preserve"> </v>
      </c>
      <c r="H438" s="53"/>
      <c r="I438" s="66"/>
      <c r="J438" s="53"/>
      <c r="K438" s="48" t="str">
        <f ca="1">IF(AND(ISBLANK(Acciones!$D438)=FALSE,ISBLANK(Acciones!$H438)=TRUE),"Faltan fechas",IF(Acciones!$H438="","",IF(AND(Acciones!$H438&gt;=TODAY(),ISBLANK(Acciones!$J438)=TRUE),"En tiempo",IF(AND(Acciones!$H438&lt;TODAY(),Acciones!$J438=""),"Retrasado",IF(Acciones!$J438&gt;Acciones!$H438,"Cerrado con retraso","Cerrado")))))</f>
        <v/>
      </c>
      <c r="L438" s="61"/>
      <c r="M438" s="74"/>
      <c r="T438" s="26"/>
      <c r="U438" s="26"/>
    </row>
    <row r="439" spans="2:21" x14ac:dyDescent="0.3">
      <c r="B439" s="53"/>
      <c r="C439" s="65"/>
      <c r="D439" s="61"/>
      <c r="E439" s="56"/>
      <c r="F439" s="53"/>
      <c r="G439" s="53" t="str">
        <f>IF(ISBLANK(Acciones!$H439)=TRUE," ",WEEKNUM(Acciones!$H439,21))</f>
        <v xml:space="preserve"> </v>
      </c>
      <c r="H439" s="53"/>
      <c r="I439" s="66"/>
      <c r="J439" s="53"/>
      <c r="K439" s="48" t="str">
        <f ca="1">IF(AND(ISBLANK(Acciones!$D439)=FALSE,ISBLANK(Acciones!$H439)=TRUE),"Faltan fechas",IF(Acciones!$H439="","",IF(AND(Acciones!$H439&gt;=TODAY(),ISBLANK(Acciones!$J439)=TRUE),"En tiempo",IF(AND(Acciones!$H439&lt;TODAY(),Acciones!$J439=""),"Retrasado",IF(Acciones!$J439&gt;Acciones!$H439,"Cerrado con retraso","Cerrado")))))</f>
        <v/>
      </c>
      <c r="L439" s="61"/>
      <c r="M439" s="74"/>
      <c r="T439" s="26"/>
      <c r="U439" s="26"/>
    </row>
    <row r="440" spans="2:21" x14ac:dyDescent="0.3">
      <c r="B440" s="53"/>
      <c r="C440" s="65"/>
      <c r="D440" s="61"/>
      <c r="E440" s="56"/>
      <c r="F440" s="53"/>
      <c r="G440" s="53" t="str">
        <f>IF(ISBLANK(Acciones!$H440)=TRUE," ",WEEKNUM(Acciones!$H440,21))</f>
        <v xml:space="preserve"> </v>
      </c>
      <c r="H440" s="53"/>
      <c r="I440" s="66"/>
      <c r="J440" s="53"/>
      <c r="K440" s="48" t="str">
        <f ca="1">IF(AND(ISBLANK(Acciones!$D440)=FALSE,ISBLANK(Acciones!$H440)=TRUE),"Faltan fechas",IF(Acciones!$H440="","",IF(AND(Acciones!$H440&gt;=TODAY(),ISBLANK(Acciones!$J440)=TRUE),"En tiempo",IF(AND(Acciones!$H440&lt;TODAY(),Acciones!$J440=""),"Retrasado",IF(Acciones!$J440&gt;Acciones!$H440,"Cerrado con retraso","Cerrado")))))</f>
        <v/>
      </c>
      <c r="L440" s="61"/>
      <c r="M440" s="74"/>
      <c r="T440" s="26"/>
      <c r="U440" s="26"/>
    </row>
    <row r="441" spans="2:21" x14ac:dyDescent="0.3">
      <c r="B441" s="53"/>
      <c r="C441" s="65"/>
      <c r="D441" s="61"/>
      <c r="E441" s="56"/>
      <c r="F441" s="53"/>
      <c r="G441" s="53" t="str">
        <f>IF(ISBLANK(Acciones!$H441)=TRUE," ",WEEKNUM(Acciones!$H441,21))</f>
        <v xml:space="preserve"> </v>
      </c>
      <c r="H441" s="53"/>
      <c r="I441" s="66"/>
      <c r="J441" s="53"/>
      <c r="K441" s="48" t="str">
        <f ca="1">IF(AND(ISBLANK(Acciones!$D441)=FALSE,ISBLANK(Acciones!$H441)=TRUE),"Faltan fechas",IF(Acciones!$H441="","",IF(AND(Acciones!$H441&gt;=TODAY(),ISBLANK(Acciones!$J441)=TRUE),"En tiempo",IF(AND(Acciones!$H441&lt;TODAY(),Acciones!$J441=""),"Retrasado",IF(Acciones!$J441&gt;Acciones!$H441,"Cerrado con retraso","Cerrado")))))</f>
        <v/>
      </c>
      <c r="L441" s="61"/>
      <c r="M441" s="74"/>
      <c r="T441" s="26"/>
      <c r="U441" s="26"/>
    </row>
    <row r="442" spans="2:21" x14ac:dyDescent="0.3">
      <c r="B442" s="53"/>
      <c r="C442" s="65"/>
      <c r="D442" s="61"/>
      <c r="E442" s="56"/>
      <c r="F442" s="53"/>
      <c r="G442" s="53" t="str">
        <f>IF(ISBLANK(Acciones!$H442)=TRUE," ",WEEKNUM(Acciones!$H442,21))</f>
        <v xml:space="preserve"> </v>
      </c>
      <c r="H442" s="53"/>
      <c r="I442" s="66"/>
      <c r="J442" s="53"/>
      <c r="K442" s="48" t="str">
        <f ca="1">IF(AND(ISBLANK(Acciones!$D442)=FALSE,ISBLANK(Acciones!$H442)=TRUE),"Faltan fechas",IF(Acciones!$H442="","",IF(AND(Acciones!$H442&gt;=TODAY(),ISBLANK(Acciones!$J442)=TRUE),"En tiempo",IF(AND(Acciones!$H442&lt;TODAY(),Acciones!$J442=""),"Retrasado",IF(Acciones!$J442&gt;Acciones!$H442,"Cerrado con retraso","Cerrado")))))</f>
        <v/>
      </c>
      <c r="L442" s="61"/>
      <c r="M442" s="74"/>
      <c r="T442" s="26"/>
      <c r="U442" s="26"/>
    </row>
    <row r="443" spans="2:21" x14ac:dyDescent="0.3">
      <c r="B443" s="53"/>
      <c r="C443" s="65"/>
      <c r="D443" s="61"/>
      <c r="E443" s="56"/>
      <c r="F443" s="53"/>
      <c r="G443" s="53" t="str">
        <f>IF(ISBLANK(Acciones!$H443)=TRUE," ",WEEKNUM(Acciones!$H443,21))</f>
        <v xml:space="preserve"> </v>
      </c>
      <c r="H443" s="53"/>
      <c r="I443" s="66"/>
      <c r="J443" s="53"/>
      <c r="K443" s="48" t="str">
        <f ca="1">IF(AND(ISBLANK(Acciones!$D443)=FALSE,ISBLANK(Acciones!$H443)=TRUE),"Faltan fechas",IF(Acciones!$H443="","",IF(AND(Acciones!$H443&gt;=TODAY(),ISBLANK(Acciones!$J443)=TRUE),"En tiempo",IF(AND(Acciones!$H443&lt;TODAY(),Acciones!$J443=""),"Retrasado",IF(Acciones!$J443&gt;Acciones!$H443,"Cerrado con retraso","Cerrado")))))</f>
        <v/>
      </c>
      <c r="L443" s="61"/>
      <c r="M443" s="74"/>
      <c r="T443" s="26"/>
      <c r="U443" s="26"/>
    </row>
    <row r="444" spans="2:21" x14ac:dyDescent="0.3">
      <c r="B444" s="53"/>
      <c r="C444" s="65"/>
      <c r="D444" s="61"/>
      <c r="E444" s="56"/>
      <c r="F444" s="53"/>
      <c r="G444" s="53" t="str">
        <f>IF(ISBLANK(Acciones!$H444)=TRUE," ",WEEKNUM(Acciones!$H444,21))</f>
        <v xml:space="preserve"> </v>
      </c>
      <c r="H444" s="53"/>
      <c r="I444" s="66"/>
      <c r="J444" s="53"/>
      <c r="K444" s="48" t="str">
        <f ca="1">IF(AND(ISBLANK(Acciones!$D444)=FALSE,ISBLANK(Acciones!$H444)=TRUE),"Faltan fechas",IF(Acciones!$H444="","",IF(AND(Acciones!$H444&gt;=TODAY(),ISBLANK(Acciones!$J444)=TRUE),"En tiempo",IF(AND(Acciones!$H444&lt;TODAY(),Acciones!$J444=""),"Retrasado",IF(Acciones!$J444&gt;Acciones!$H444,"Cerrado con retraso","Cerrado")))))</f>
        <v/>
      </c>
      <c r="L444" s="61"/>
      <c r="M444" s="74"/>
      <c r="T444" s="26"/>
      <c r="U444" s="26"/>
    </row>
    <row r="445" spans="2:21" x14ac:dyDescent="0.3">
      <c r="B445" s="53"/>
      <c r="C445" s="65"/>
      <c r="D445" s="61"/>
      <c r="E445" s="56"/>
      <c r="F445" s="53"/>
      <c r="G445" s="53" t="str">
        <f>IF(ISBLANK(Acciones!$H445)=TRUE," ",WEEKNUM(Acciones!$H445,21))</f>
        <v xml:space="preserve"> </v>
      </c>
      <c r="H445" s="53"/>
      <c r="I445" s="66"/>
      <c r="J445" s="53"/>
      <c r="K445" s="48" t="str">
        <f ca="1">IF(AND(ISBLANK(Acciones!$D445)=FALSE,ISBLANK(Acciones!$H445)=TRUE),"Faltan fechas",IF(Acciones!$H445="","",IF(AND(Acciones!$H445&gt;=TODAY(),ISBLANK(Acciones!$J445)=TRUE),"En tiempo",IF(AND(Acciones!$H445&lt;TODAY(),Acciones!$J445=""),"Retrasado",IF(Acciones!$J445&gt;Acciones!$H445,"Cerrado con retraso","Cerrado")))))</f>
        <v/>
      </c>
      <c r="L445" s="61"/>
      <c r="M445" s="74"/>
      <c r="T445" s="26"/>
      <c r="U445" s="26"/>
    </row>
    <row r="446" spans="2:21" x14ac:dyDescent="0.3">
      <c r="B446" s="53"/>
      <c r="C446" s="65"/>
      <c r="D446" s="61"/>
      <c r="E446" s="56"/>
      <c r="F446" s="53"/>
      <c r="G446" s="53" t="str">
        <f>IF(ISBLANK(Acciones!$H446)=TRUE," ",WEEKNUM(Acciones!$H446,21))</f>
        <v xml:space="preserve"> </v>
      </c>
      <c r="H446" s="53"/>
      <c r="I446" s="66"/>
      <c r="J446" s="53"/>
      <c r="K446" s="48" t="str">
        <f ca="1">IF(AND(ISBLANK(Acciones!$D446)=FALSE,ISBLANK(Acciones!$H446)=TRUE),"Faltan fechas",IF(Acciones!$H446="","",IF(AND(Acciones!$H446&gt;=TODAY(),ISBLANK(Acciones!$J446)=TRUE),"En tiempo",IF(AND(Acciones!$H446&lt;TODAY(),Acciones!$J446=""),"Retrasado",IF(Acciones!$J446&gt;Acciones!$H446,"Cerrado con retraso","Cerrado")))))</f>
        <v/>
      </c>
      <c r="L446" s="61"/>
      <c r="M446" s="74"/>
      <c r="T446" s="26"/>
      <c r="U446" s="26"/>
    </row>
    <row r="447" spans="2:21" x14ac:dyDescent="0.3">
      <c r="B447" s="53"/>
      <c r="C447" s="65"/>
      <c r="D447" s="61"/>
      <c r="E447" s="56"/>
      <c r="F447" s="53"/>
      <c r="G447" s="53" t="str">
        <f>IF(ISBLANK(Acciones!$H447)=TRUE," ",WEEKNUM(Acciones!$H447,21))</f>
        <v xml:space="preserve"> </v>
      </c>
      <c r="H447" s="53"/>
      <c r="I447" s="66"/>
      <c r="J447" s="53"/>
      <c r="K447" s="48" t="str">
        <f ca="1">IF(AND(ISBLANK(Acciones!$D447)=FALSE,ISBLANK(Acciones!$H447)=TRUE),"Faltan fechas",IF(Acciones!$H447="","",IF(AND(Acciones!$H447&gt;=TODAY(),ISBLANK(Acciones!$J447)=TRUE),"En tiempo",IF(AND(Acciones!$H447&lt;TODAY(),Acciones!$J447=""),"Retrasado",IF(Acciones!$J447&gt;Acciones!$H447,"Cerrado con retraso","Cerrado")))))</f>
        <v/>
      </c>
      <c r="L447" s="61"/>
      <c r="M447" s="74"/>
      <c r="T447" s="26"/>
      <c r="U447" s="26"/>
    </row>
    <row r="448" spans="2:21" x14ac:dyDescent="0.3">
      <c r="B448" s="53"/>
      <c r="C448" s="65"/>
      <c r="D448" s="61"/>
      <c r="E448" s="56"/>
      <c r="F448" s="53"/>
      <c r="G448" s="53" t="str">
        <f>IF(ISBLANK(Acciones!$H448)=TRUE," ",WEEKNUM(Acciones!$H448,21))</f>
        <v xml:space="preserve"> </v>
      </c>
      <c r="H448" s="53"/>
      <c r="I448" s="66"/>
      <c r="J448" s="53"/>
      <c r="K448" s="48" t="str">
        <f ca="1">IF(AND(ISBLANK(Acciones!$D448)=FALSE,ISBLANK(Acciones!$H448)=TRUE),"Faltan fechas",IF(Acciones!$H448="","",IF(AND(Acciones!$H448&gt;=TODAY(),ISBLANK(Acciones!$J448)=TRUE),"En tiempo",IF(AND(Acciones!$H448&lt;TODAY(),Acciones!$J448=""),"Retrasado",IF(Acciones!$J448&gt;Acciones!$H448,"Cerrado con retraso","Cerrado")))))</f>
        <v/>
      </c>
      <c r="L448" s="61"/>
      <c r="M448" s="74"/>
      <c r="T448" s="26"/>
      <c r="U448" s="26"/>
    </row>
    <row r="449" spans="2:21" x14ac:dyDescent="0.3">
      <c r="B449" s="53"/>
      <c r="C449" s="65"/>
      <c r="D449" s="61"/>
      <c r="E449" s="56"/>
      <c r="F449" s="53"/>
      <c r="G449" s="53" t="str">
        <f>IF(ISBLANK(Acciones!$H449)=TRUE," ",WEEKNUM(Acciones!$H449,21))</f>
        <v xml:space="preserve"> </v>
      </c>
      <c r="H449" s="53"/>
      <c r="I449" s="66"/>
      <c r="J449" s="53"/>
      <c r="K449" s="48" t="str">
        <f ca="1">IF(AND(ISBLANK(Acciones!$D449)=FALSE,ISBLANK(Acciones!$H449)=TRUE),"Faltan fechas",IF(Acciones!$H449="","",IF(AND(Acciones!$H449&gt;=TODAY(),ISBLANK(Acciones!$J449)=TRUE),"En tiempo",IF(AND(Acciones!$H449&lt;TODAY(),Acciones!$J449=""),"Retrasado",IF(Acciones!$J449&gt;Acciones!$H449,"Cerrado con retraso","Cerrado")))))</f>
        <v/>
      </c>
      <c r="L449" s="61"/>
      <c r="M449" s="74"/>
      <c r="T449" s="26"/>
      <c r="U449" s="26"/>
    </row>
    <row r="450" spans="2:21" x14ac:dyDescent="0.3">
      <c r="B450" s="53"/>
      <c r="C450" s="65"/>
      <c r="D450" s="61"/>
      <c r="E450" s="56"/>
      <c r="F450" s="53"/>
      <c r="G450" s="53" t="str">
        <f>IF(ISBLANK(Acciones!$H450)=TRUE," ",WEEKNUM(Acciones!$H450,21))</f>
        <v xml:space="preserve"> </v>
      </c>
      <c r="H450" s="53"/>
      <c r="I450" s="66"/>
      <c r="J450" s="53"/>
      <c r="K450" s="48" t="str">
        <f ca="1">IF(AND(ISBLANK(Acciones!$D450)=FALSE,ISBLANK(Acciones!$H450)=TRUE),"Faltan fechas",IF(Acciones!$H450="","",IF(AND(Acciones!$H450&gt;=TODAY(),ISBLANK(Acciones!$J450)=TRUE),"En tiempo",IF(AND(Acciones!$H450&lt;TODAY(),Acciones!$J450=""),"Retrasado",IF(Acciones!$J450&gt;Acciones!$H450,"Cerrado con retraso","Cerrado")))))</f>
        <v/>
      </c>
      <c r="L450" s="61"/>
      <c r="M450" s="74"/>
      <c r="T450" s="26"/>
      <c r="U450" s="26"/>
    </row>
    <row r="451" spans="2:21" x14ac:dyDescent="0.3">
      <c r="B451" s="53"/>
      <c r="C451" s="65"/>
      <c r="D451" s="61"/>
      <c r="E451" s="56"/>
      <c r="F451" s="53"/>
      <c r="G451" s="53" t="str">
        <f>IF(ISBLANK(Acciones!$H451)=TRUE," ",WEEKNUM(Acciones!$H451,21))</f>
        <v xml:space="preserve"> </v>
      </c>
      <c r="H451" s="53"/>
      <c r="I451" s="66"/>
      <c r="J451" s="53"/>
      <c r="K451" s="48" t="str">
        <f ca="1">IF(AND(ISBLANK(Acciones!$D451)=FALSE,ISBLANK(Acciones!$H451)=TRUE),"Faltan fechas",IF(Acciones!$H451="","",IF(AND(Acciones!$H451&gt;=TODAY(),ISBLANK(Acciones!$J451)=TRUE),"En tiempo",IF(AND(Acciones!$H451&lt;TODAY(),Acciones!$J451=""),"Retrasado",IF(Acciones!$J451&gt;Acciones!$H451,"Cerrado con retraso","Cerrado")))))</f>
        <v/>
      </c>
      <c r="L451" s="61"/>
      <c r="M451" s="74"/>
      <c r="T451" s="26"/>
      <c r="U451" s="26"/>
    </row>
    <row r="452" spans="2:21" x14ac:dyDescent="0.3">
      <c r="B452" s="53"/>
      <c r="C452" s="65"/>
      <c r="D452" s="61"/>
      <c r="E452" s="56"/>
      <c r="F452" s="53"/>
      <c r="G452" s="53" t="str">
        <f>IF(ISBLANK(Acciones!$H452)=TRUE," ",WEEKNUM(Acciones!$H452,21))</f>
        <v xml:space="preserve"> </v>
      </c>
      <c r="H452" s="53"/>
      <c r="I452" s="66"/>
      <c r="J452" s="53"/>
      <c r="K452" s="48" t="str">
        <f ca="1">IF(AND(ISBLANK(Acciones!$D452)=FALSE,ISBLANK(Acciones!$H452)=TRUE),"Faltan fechas",IF(Acciones!$H452="","",IF(AND(Acciones!$H452&gt;=TODAY(),ISBLANK(Acciones!$J452)=TRUE),"En tiempo",IF(AND(Acciones!$H452&lt;TODAY(),Acciones!$J452=""),"Retrasado",IF(Acciones!$J452&gt;Acciones!$H452,"Cerrado con retraso","Cerrado")))))</f>
        <v/>
      </c>
      <c r="L452" s="61"/>
      <c r="M452" s="74"/>
      <c r="T452" s="26"/>
      <c r="U452" s="26"/>
    </row>
    <row r="453" spans="2:21" x14ac:dyDescent="0.3">
      <c r="B453" s="53"/>
      <c r="C453" s="65"/>
      <c r="D453" s="61"/>
      <c r="E453" s="56"/>
      <c r="F453" s="53"/>
      <c r="G453" s="53" t="str">
        <f>IF(ISBLANK(Acciones!$H453)=TRUE," ",WEEKNUM(Acciones!$H453,21))</f>
        <v xml:space="preserve"> </v>
      </c>
      <c r="H453" s="53"/>
      <c r="I453" s="66"/>
      <c r="J453" s="53"/>
      <c r="K453" s="48" t="str">
        <f ca="1">IF(AND(ISBLANK(Acciones!$D453)=FALSE,ISBLANK(Acciones!$H453)=TRUE),"Faltan fechas",IF(Acciones!$H453="","",IF(AND(Acciones!$H453&gt;=TODAY(),ISBLANK(Acciones!$J453)=TRUE),"En tiempo",IF(AND(Acciones!$H453&lt;TODAY(),Acciones!$J453=""),"Retrasado",IF(Acciones!$J453&gt;Acciones!$H453,"Cerrado con retraso","Cerrado")))))</f>
        <v/>
      </c>
      <c r="L453" s="61"/>
      <c r="M453" s="74"/>
      <c r="T453" s="26"/>
      <c r="U453" s="26"/>
    </row>
    <row r="454" spans="2:21" x14ac:dyDescent="0.3">
      <c r="B454" s="53"/>
      <c r="C454" s="65"/>
      <c r="D454" s="61"/>
      <c r="E454" s="56"/>
      <c r="F454" s="53"/>
      <c r="G454" s="53" t="str">
        <f>IF(ISBLANK(Acciones!$H454)=TRUE," ",WEEKNUM(Acciones!$H454,21))</f>
        <v xml:space="preserve"> </v>
      </c>
      <c r="H454" s="53"/>
      <c r="I454" s="66"/>
      <c r="J454" s="53"/>
      <c r="K454" s="48" t="str">
        <f ca="1">IF(AND(ISBLANK(Acciones!$D454)=FALSE,ISBLANK(Acciones!$H454)=TRUE),"Faltan fechas",IF(Acciones!$H454="","",IF(AND(Acciones!$H454&gt;=TODAY(),ISBLANK(Acciones!$J454)=TRUE),"En tiempo",IF(AND(Acciones!$H454&lt;TODAY(),Acciones!$J454=""),"Retrasado",IF(Acciones!$J454&gt;Acciones!$H454,"Cerrado con retraso","Cerrado")))))</f>
        <v/>
      </c>
      <c r="L454" s="61"/>
      <c r="M454" s="74"/>
      <c r="T454" s="26"/>
      <c r="U454" s="26"/>
    </row>
    <row r="455" spans="2:21" x14ac:dyDescent="0.3">
      <c r="B455" s="53"/>
      <c r="C455" s="65"/>
      <c r="D455" s="61"/>
      <c r="E455" s="56"/>
      <c r="F455" s="53"/>
      <c r="G455" s="53" t="str">
        <f>IF(ISBLANK(Acciones!$H455)=TRUE," ",WEEKNUM(Acciones!$H455,21))</f>
        <v xml:space="preserve"> </v>
      </c>
      <c r="H455" s="53"/>
      <c r="I455" s="66"/>
      <c r="J455" s="53"/>
      <c r="K455" s="48" t="str">
        <f ca="1">IF(AND(ISBLANK(Acciones!$D455)=FALSE,ISBLANK(Acciones!$H455)=TRUE),"Faltan fechas",IF(Acciones!$H455="","",IF(AND(Acciones!$H455&gt;=TODAY(),ISBLANK(Acciones!$J455)=TRUE),"En tiempo",IF(AND(Acciones!$H455&lt;TODAY(),Acciones!$J455=""),"Retrasado",IF(Acciones!$J455&gt;Acciones!$H455,"Cerrado con retraso","Cerrado")))))</f>
        <v/>
      </c>
      <c r="L455" s="61"/>
      <c r="M455" s="74"/>
      <c r="T455" s="26"/>
      <c r="U455" s="26"/>
    </row>
    <row r="456" spans="2:21" x14ac:dyDescent="0.3">
      <c r="B456" s="53"/>
      <c r="C456" s="65"/>
      <c r="D456" s="61"/>
      <c r="E456" s="56"/>
      <c r="F456" s="53"/>
      <c r="G456" s="53" t="str">
        <f>IF(ISBLANK(Acciones!$H456)=TRUE," ",WEEKNUM(Acciones!$H456,21))</f>
        <v xml:space="preserve"> </v>
      </c>
      <c r="H456" s="53"/>
      <c r="I456" s="66"/>
      <c r="J456" s="53"/>
      <c r="K456" s="48" t="str">
        <f ca="1">IF(AND(ISBLANK(Acciones!$D456)=FALSE,ISBLANK(Acciones!$H456)=TRUE),"Faltan fechas",IF(Acciones!$H456="","",IF(AND(Acciones!$H456&gt;=TODAY(),ISBLANK(Acciones!$J456)=TRUE),"En tiempo",IF(AND(Acciones!$H456&lt;TODAY(),Acciones!$J456=""),"Retrasado",IF(Acciones!$J456&gt;Acciones!$H456,"Cerrado con retraso","Cerrado")))))</f>
        <v/>
      </c>
      <c r="L456" s="61"/>
      <c r="M456" s="74"/>
      <c r="T456" s="26"/>
      <c r="U456" s="26"/>
    </row>
    <row r="457" spans="2:21" x14ac:dyDescent="0.3">
      <c r="B457" s="53"/>
      <c r="C457" s="65"/>
      <c r="D457" s="61"/>
      <c r="E457" s="56"/>
      <c r="F457" s="53"/>
      <c r="G457" s="53" t="str">
        <f>IF(ISBLANK(Acciones!$H457)=TRUE," ",WEEKNUM(Acciones!$H457,21))</f>
        <v xml:space="preserve"> </v>
      </c>
      <c r="H457" s="53"/>
      <c r="I457" s="66"/>
      <c r="J457" s="53"/>
      <c r="K457" s="48" t="str">
        <f ca="1">IF(AND(ISBLANK(Acciones!$D457)=FALSE,ISBLANK(Acciones!$H457)=TRUE),"Faltan fechas",IF(Acciones!$H457="","",IF(AND(Acciones!$H457&gt;=TODAY(),ISBLANK(Acciones!$J457)=TRUE),"En tiempo",IF(AND(Acciones!$H457&lt;TODAY(),Acciones!$J457=""),"Retrasado",IF(Acciones!$J457&gt;Acciones!$H457,"Cerrado con retraso","Cerrado")))))</f>
        <v/>
      </c>
      <c r="L457" s="61"/>
      <c r="M457" s="74"/>
      <c r="T457" s="26"/>
      <c r="U457" s="26"/>
    </row>
    <row r="458" spans="2:21" x14ac:dyDescent="0.3">
      <c r="B458" s="53"/>
      <c r="C458" s="65"/>
      <c r="D458" s="61"/>
      <c r="E458" s="56"/>
      <c r="F458" s="53"/>
      <c r="G458" s="53" t="str">
        <f>IF(ISBLANK(Acciones!$H458)=TRUE," ",WEEKNUM(Acciones!$H458,21))</f>
        <v xml:space="preserve"> </v>
      </c>
      <c r="H458" s="53"/>
      <c r="I458" s="66"/>
      <c r="J458" s="53"/>
      <c r="K458" s="48" t="str">
        <f ca="1">IF(AND(ISBLANK(Acciones!$D458)=FALSE,ISBLANK(Acciones!$H458)=TRUE),"Faltan fechas",IF(Acciones!$H458="","",IF(AND(Acciones!$H458&gt;=TODAY(),ISBLANK(Acciones!$J458)=TRUE),"En tiempo",IF(AND(Acciones!$H458&lt;TODAY(),Acciones!$J458=""),"Retrasado",IF(Acciones!$J458&gt;Acciones!$H458,"Cerrado con retraso","Cerrado")))))</f>
        <v/>
      </c>
      <c r="L458" s="61"/>
      <c r="M458" s="74"/>
      <c r="T458" s="26"/>
      <c r="U458" s="26"/>
    </row>
    <row r="459" spans="2:21" x14ac:dyDescent="0.3">
      <c r="B459" s="53"/>
      <c r="C459" s="65"/>
      <c r="D459" s="61"/>
      <c r="E459" s="56"/>
      <c r="F459" s="53"/>
      <c r="G459" s="53" t="str">
        <f>IF(ISBLANK(Acciones!$H459)=TRUE," ",WEEKNUM(Acciones!$H459,21))</f>
        <v xml:space="preserve"> </v>
      </c>
      <c r="H459" s="53"/>
      <c r="I459" s="66"/>
      <c r="J459" s="53"/>
      <c r="K459" s="48" t="str">
        <f ca="1">IF(AND(ISBLANK(Acciones!$D459)=FALSE,ISBLANK(Acciones!$H459)=TRUE),"Faltan fechas",IF(Acciones!$H459="","",IF(AND(Acciones!$H459&gt;=TODAY(),ISBLANK(Acciones!$J459)=TRUE),"En tiempo",IF(AND(Acciones!$H459&lt;TODAY(),Acciones!$J459=""),"Retrasado",IF(Acciones!$J459&gt;Acciones!$H459,"Cerrado con retraso","Cerrado")))))</f>
        <v/>
      </c>
      <c r="L459" s="61"/>
      <c r="M459" s="74"/>
      <c r="T459" s="26"/>
      <c r="U459" s="26"/>
    </row>
    <row r="460" spans="2:21" x14ac:dyDescent="0.3">
      <c r="B460" s="53"/>
      <c r="C460" s="65"/>
      <c r="D460" s="61"/>
      <c r="E460" s="56"/>
      <c r="F460" s="53"/>
      <c r="G460" s="53" t="str">
        <f>IF(ISBLANK(Acciones!$H460)=TRUE," ",WEEKNUM(Acciones!$H460,21))</f>
        <v xml:space="preserve"> </v>
      </c>
      <c r="H460" s="53"/>
      <c r="I460" s="66"/>
      <c r="J460" s="53"/>
      <c r="K460" s="48" t="str">
        <f ca="1">IF(AND(ISBLANK(Acciones!$D460)=FALSE,ISBLANK(Acciones!$H460)=TRUE),"Faltan fechas",IF(Acciones!$H460="","",IF(AND(Acciones!$H460&gt;=TODAY(),ISBLANK(Acciones!$J460)=TRUE),"En tiempo",IF(AND(Acciones!$H460&lt;TODAY(),Acciones!$J460=""),"Retrasado",IF(Acciones!$J460&gt;Acciones!$H460,"Cerrado con retraso","Cerrado")))))</f>
        <v/>
      </c>
      <c r="L460" s="61"/>
      <c r="M460" s="74"/>
      <c r="T460" s="26"/>
      <c r="U460" s="26"/>
    </row>
    <row r="461" spans="2:21" x14ac:dyDescent="0.3">
      <c r="B461" s="53"/>
      <c r="C461" s="65"/>
      <c r="D461" s="61"/>
      <c r="E461" s="56"/>
      <c r="F461" s="53"/>
      <c r="G461" s="53" t="str">
        <f>IF(ISBLANK(Acciones!$H461)=TRUE," ",WEEKNUM(Acciones!$H461,21))</f>
        <v xml:space="preserve"> </v>
      </c>
      <c r="H461" s="53"/>
      <c r="I461" s="66"/>
      <c r="J461" s="53"/>
      <c r="K461" s="48" t="str">
        <f ca="1">IF(AND(ISBLANK(Acciones!$D461)=FALSE,ISBLANK(Acciones!$H461)=TRUE),"Faltan fechas",IF(Acciones!$H461="","",IF(AND(Acciones!$H461&gt;=TODAY(),ISBLANK(Acciones!$J461)=TRUE),"En tiempo",IF(AND(Acciones!$H461&lt;TODAY(),Acciones!$J461=""),"Retrasado",IF(Acciones!$J461&gt;Acciones!$H461,"Cerrado con retraso","Cerrado")))))</f>
        <v/>
      </c>
      <c r="L461" s="61"/>
      <c r="M461" s="74"/>
      <c r="T461" s="26"/>
      <c r="U461" s="26"/>
    </row>
    <row r="462" spans="2:21" x14ac:dyDescent="0.3">
      <c r="B462" s="53"/>
      <c r="C462" s="65"/>
      <c r="D462" s="61"/>
      <c r="E462" s="56"/>
      <c r="F462" s="53"/>
      <c r="G462" s="53" t="str">
        <f>IF(ISBLANK(Acciones!$H462)=TRUE," ",WEEKNUM(Acciones!$H462,21))</f>
        <v xml:space="preserve"> </v>
      </c>
      <c r="H462" s="53"/>
      <c r="I462" s="66"/>
      <c r="J462" s="53"/>
      <c r="K462" s="48" t="str">
        <f ca="1">IF(AND(ISBLANK(Acciones!$D462)=FALSE,ISBLANK(Acciones!$H462)=TRUE),"Faltan fechas",IF(Acciones!$H462="","",IF(AND(Acciones!$H462&gt;=TODAY(),ISBLANK(Acciones!$J462)=TRUE),"En tiempo",IF(AND(Acciones!$H462&lt;TODAY(),Acciones!$J462=""),"Retrasado",IF(Acciones!$J462&gt;Acciones!$H462,"Cerrado con retraso","Cerrado")))))</f>
        <v/>
      </c>
      <c r="L462" s="61"/>
      <c r="M462" s="74"/>
      <c r="T462" s="26"/>
      <c r="U462" s="26"/>
    </row>
    <row r="463" spans="2:21" x14ac:dyDescent="0.3">
      <c r="B463" s="53"/>
      <c r="C463" s="65"/>
      <c r="D463" s="61"/>
      <c r="E463" s="56"/>
      <c r="F463" s="53"/>
      <c r="G463" s="53" t="str">
        <f>IF(ISBLANK(Acciones!$H463)=TRUE," ",WEEKNUM(Acciones!$H463,21))</f>
        <v xml:space="preserve"> </v>
      </c>
      <c r="H463" s="53"/>
      <c r="I463" s="66"/>
      <c r="J463" s="53"/>
      <c r="K463" s="48" t="str">
        <f ca="1">IF(AND(ISBLANK(Acciones!$D463)=FALSE,ISBLANK(Acciones!$H463)=TRUE),"Faltan fechas",IF(Acciones!$H463="","",IF(AND(Acciones!$H463&gt;=TODAY(),ISBLANK(Acciones!$J463)=TRUE),"En tiempo",IF(AND(Acciones!$H463&lt;TODAY(),Acciones!$J463=""),"Retrasado",IF(Acciones!$J463&gt;Acciones!$H463,"Cerrado con retraso","Cerrado")))))</f>
        <v/>
      </c>
      <c r="L463" s="61"/>
      <c r="M463" s="74"/>
      <c r="T463" s="26"/>
      <c r="U463" s="26"/>
    </row>
    <row r="464" spans="2:21" x14ac:dyDescent="0.3">
      <c r="B464" s="53"/>
      <c r="C464" s="65"/>
      <c r="D464" s="61"/>
      <c r="E464" s="56"/>
      <c r="F464" s="53"/>
      <c r="G464" s="53" t="str">
        <f>IF(ISBLANK(Acciones!$H464)=TRUE," ",WEEKNUM(Acciones!$H464,21))</f>
        <v xml:space="preserve"> </v>
      </c>
      <c r="H464" s="53"/>
      <c r="I464" s="66"/>
      <c r="J464" s="53"/>
      <c r="K464" s="48" t="str">
        <f ca="1">IF(AND(ISBLANK(Acciones!$D464)=FALSE,ISBLANK(Acciones!$H464)=TRUE),"Faltan fechas",IF(Acciones!$H464="","",IF(AND(Acciones!$H464&gt;=TODAY(),ISBLANK(Acciones!$J464)=TRUE),"En tiempo",IF(AND(Acciones!$H464&lt;TODAY(),Acciones!$J464=""),"Retrasado",IF(Acciones!$J464&gt;Acciones!$H464,"Cerrado con retraso","Cerrado")))))</f>
        <v/>
      </c>
      <c r="L464" s="61"/>
      <c r="M464" s="74"/>
      <c r="T464" s="26"/>
      <c r="U464" s="26"/>
    </row>
    <row r="465" spans="2:21" x14ac:dyDescent="0.3">
      <c r="B465" s="53"/>
      <c r="C465" s="65"/>
      <c r="D465" s="61"/>
      <c r="E465" s="56"/>
      <c r="F465" s="53"/>
      <c r="G465" s="53" t="str">
        <f>IF(ISBLANK(Acciones!$H465)=TRUE," ",WEEKNUM(Acciones!$H465,21))</f>
        <v xml:space="preserve"> </v>
      </c>
      <c r="H465" s="53"/>
      <c r="I465" s="66"/>
      <c r="J465" s="53"/>
      <c r="K465" s="48" t="str">
        <f ca="1">IF(AND(ISBLANK(Acciones!$D465)=FALSE,ISBLANK(Acciones!$H465)=TRUE),"Faltan fechas",IF(Acciones!$H465="","",IF(AND(Acciones!$H465&gt;=TODAY(),ISBLANK(Acciones!$J465)=TRUE),"En tiempo",IF(AND(Acciones!$H465&lt;TODAY(),Acciones!$J465=""),"Retrasado",IF(Acciones!$J465&gt;Acciones!$H465,"Cerrado con retraso","Cerrado")))))</f>
        <v/>
      </c>
      <c r="L465" s="61"/>
      <c r="M465" s="74"/>
      <c r="T465" s="26"/>
      <c r="U465" s="26"/>
    </row>
    <row r="466" spans="2:21" x14ac:dyDescent="0.3">
      <c r="B466" s="53"/>
      <c r="C466" s="65"/>
      <c r="D466" s="61"/>
      <c r="E466" s="56"/>
      <c r="F466" s="53"/>
      <c r="G466" s="53" t="str">
        <f>IF(ISBLANK(Acciones!$H466)=TRUE," ",WEEKNUM(Acciones!$H466,21))</f>
        <v xml:space="preserve"> </v>
      </c>
      <c r="H466" s="53"/>
      <c r="I466" s="66"/>
      <c r="J466" s="53"/>
      <c r="K466" s="48" t="str">
        <f ca="1">IF(AND(ISBLANK(Acciones!$D466)=FALSE,ISBLANK(Acciones!$H466)=TRUE),"Faltan fechas",IF(Acciones!$H466="","",IF(AND(Acciones!$H466&gt;=TODAY(),ISBLANK(Acciones!$J466)=TRUE),"En tiempo",IF(AND(Acciones!$H466&lt;TODAY(),Acciones!$J466=""),"Retrasado",IF(Acciones!$J466&gt;Acciones!$H466,"Cerrado con retraso","Cerrado")))))</f>
        <v/>
      </c>
      <c r="L466" s="61"/>
      <c r="M466" s="74"/>
      <c r="T466" s="26"/>
      <c r="U466" s="26"/>
    </row>
    <row r="467" spans="2:21" x14ac:dyDescent="0.3">
      <c r="B467" s="53"/>
      <c r="C467" s="65"/>
      <c r="D467" s="61"/>
      <c r="E467" s="56"/>
      <c r="F467" s="53"/>
      <c r="G467" s="53" t="str">
        <f>IF(ISBLANK(Acciones!$H467)=TRUE," ",WEEKNUM(Acciones!$H467,21))</f>
        <v xml:space="preserve"> </v>
      </c>
      <c r="H467" s="53"/>
      <c r="I467" s="66"/>
      <c r="J467" s="53"/>
      <c r="K467" s="48" t="str">
        <f ca="1">IF(AND(ISBLANK(Acciones!$D467)=FALSE,ISBLANK(Acciones!$H467)=TRUE),"Faltan fechas",IF(Acciones!$H467="","",IF(AND(Acciones!$H467&gt;=TODAY(),ISBLANK(Acciones!$J467)=TRUE),"En tiempo",IF(AND(Acciones!$H467&lt;TODAY(),Acciones!$J467=""),"Retrasado",IF(Acciones!$J467&gt;Acciones!$H467,"Cerrado con retraso","Cerrado")))))</f>
        <v/>
      </c>
      <c r="L467" s="61"/>
      <c r="M467" s="74"/>
      <c r="T467" s="26"/>
      <c r="U467" s="26"/>
    </row>
    <row r="468" spans="2:21" x14ac:dyDescent="0.3">
      <c r="B468" s="53"/>
      <c r="C468" s="65"/>
      <c r="D468" s="61"/>
      <c r="E468" s="56"/>
      <c r="F468" s="53"/>
      <c r="G468" s="53" t="str">
        <f>IF(ISBLANK(Acciones!$H468)=TRUE," ",WEEKNUM(Acciones!$H468,21))</f>
        <v xml:space="preserve"> </v>
      </c>
      <c r="H468" s="53"/>
      <c r="I468" s="66"/>
      <c r="J468" s="53"/>
      <c r="K468" s="48" t="str">
        <f ca="1">IF(AND(ISBLANK(Acciones!$D468)=FALSE,ISBLANK(Acciones!$H468)=TRUE),"Faltan fechas",IF(Acciones!$H468="","",IF(AND(Acciones!$H468&gt;=TODAY(),ISBLANK(Acciones!$J468)=TRUE),"En tiempo",IF(AND(Acciones!$H468&lt;TODAY(),Acciones!$J468=""),"Retrasado",IF(Acciones!$J468&gt;Acciones!$H468,"Cerrado con retraso","Cerrado")))))</f>
        <v/>
      </c>
      <c r="L468" s="61"/>
      <c r="M468" s="74"/>
      <c r="T468" s="26"/>
      <c r="U468" s="26"/>
    </row>
    <row r="469" spans="2:21" x14ac:dyDescent="0.3">
      <c r="B469" s="53"/>
      <c r="C469" s="65"/>
      <c r="D469" s="61"/>
      <c r="E469" s="56"/>
      <c r="F469" s="53"/>
      <c r="G469" s="53" t="str">
        <f>IF(ISBLANK(Acciones!$H469)=TRUE," ",WEEKNUM(Acciones!$H469,21))</f>
        <v xml:space="preserve"> </v>
      </c>
      <c r="H469" s="53"/>
      <c r="I469" s="66"/>
      <c r="J469" s="53"/>
      <c r="K469" s="48" t="str">
        <f ca="1">IF(AND(ISBLANK(Acciones!$D469)=FALSE,ISBLANK(Acciones!$H469)=TRUE),"Faltan fechas",IF(Acciones!$H469="","",IF(AND(Acciones!$H469&gt;=TODAY(),ISBLANK(Acciones!$J469)=TRUE),"En tiempo",IF(AND(Acciones!$H469&lt;TODAY(),Acciones!$J469=""),"Retrasado",IF(Acciones!$J469&gt;Acciones!$H469,"Cerrado con retraso","Cerrado")))))</f>
        <v/>
      </c>
      <c r="L469" s="61"/>
      <c r="M469" s="74"/>
      <c r="T469" s="26"/>
      <c r="U469" s="26"/>
    </row>
    <row r="470" spans="2:21" x14ac:dyDescent="0.3">
      <c r="B470" s="53"/>
      <c r="C470" s="65"/>
      <c r="D470" s="61"/>
      <c r="E470" s="56"/>
      <c r="F470" s="53"/>
      <c r="G470" s="53" t="str">
        <f>IF(ISBLANK(Acciones!$H470)=TRUE," ",WEEKNUM(Acciones!$H470,21))</f>
        <v xml:space="preserve"> </v>
      </c>
      <c r="H470" s="53"/>
      <c r="I470" s="66"/>
      <c r="J470" s="53"/>
      <c r="K470" s="48" t="str">
        <f ca="1">IF(AND(ISBLANK(Acciones!$D470)=FALSE,ISBLANK(Acciones!$H470)=TRUE),"Faltan fechas",IF(Acciones!$H470="","",IF(AND(Acciones!$H470&gt;=TODAY(),ISBLANK(Acciones!$J470)=TRUE),"En tiempo",IF(AND(Acciones!$H470&lt;TODAY(),Acciones!$J470=""),"Retrasado",IF(Acciones!$J470&gt;Acciones!$H470,"Cerrado con retraso","Cerrado")))))</f>
        <v/>
      </c>
      <c r="L470" s="61"/>
      <c r="M470" s="74"/>
      <c r="T470" s="26"/>
      <c r="U470" s="26"/>
    </row>
    <row r="471" spans="2:21" x14ac:dyDescent="0.3">
      <c r="B471" s="53"/>
      <c r="C471" s="65"/>
      <c r="D471" s="61"/>
      <c r="E471" s="56"/>
      <c r="F471" s="53"/>
      <c r="G471" s="53" t="str">
        <f>IF(ISBLANK(Acciones!$H471)=TRUE," ",WEEKNUM(Acciones!$H471,21))</f>
        <v xml:space="preserve"> </v>
      </c>
      <c r="H471" s="53"/>
      <c r="I471" s="66"/>
      <c r="J471" s="53"/>
      <c r="K471" s="48" t="str">
        <f ca="1">IF(AND(ISBLANK(Acciones!$D471)=FALSE,ISBLANK(Acciones!$H471)=TRUE),"Faltan fechas",IF(Acciones!$H471="","",IF(AND(Acciones!$H471&gt;=TODAY(),ISBLANK(Acciones!$J471)=TRUE),"En tiempo",IF(AND(Acciones!$H471&lt;TODAY(),Acciones!$J471=""),"Retrasado",IF(Acciones!$J471&gt;Acciones!$H471,"Cerrado con retraso","Cerrado")))))</f>
        <v/>
      </c>
      <c r="L471" s="61"/>
      <c r="M471" s="74"/>
      <c r="T471" s="26"/>
      <c r="U471" s="26"/>
    </row>
    <row r="472" spans="2:21" x14ac:dyDescent="0.3">
      <c r="B472" s="53"/>
      <c r="C472" s="65"/>
      <c r="D472" s="61"/>
      <c r="E472" s="56"/>
      <c r="F472" s="53"/>
      <c r="G472" s="53" t="str">
        <f>IF(ISBLANK(Acciones!$H472)=TRUE," ",WEEKNUM(Acciones!$H472,21))</f>
        <v xml:space="preserve"> </v>
      </c>
      <c r="H472" s="53"/>
      <c r="I472" s="66"/>
      <c r="J472" s="53"/>
      <c r="K472" s="48" t="str">
        <f ca="1">IF(AND(ISBLANK(Acciones!$D472)=FALSE,ISBLANK(Acciones!$H472)=TRUE),"Faltan fechas",IF(Acciones!$H472="","",IF(AND(Acciones!$H472&gt;=TODAY(),ISBLANK(Acciones!$J472)=TRUE),"En tiempo",IF(AND(Acciones!$H472&lt;TODAY(),Acciones!$J472=""),"Retrasado",IF(Acciones!$J472&gt;Acciones!$H472,"Cerrado con retraso","Cerrado")))))</f>
        <v/>
      </c>
      <c r="L472" s="61"/>
      <c r="M472" s="74"/>
      <c r="T472" s="26"/>
      <c r="U472" s="26"/>
    </row>
    <row r="473" spans="2:21" x14ac:dyDescent="0.3">
      <c r="B473" s="53"/>
      <c r="C473" s="65"/>
      <c r="D473" s="61"/>
      <c r="E473" s="56"/>
      <c r="F473" s="53"/>
      <c r="G473" s="53" t="str">
        <f>IF(ISBLANK(Acciones!$H473)=TRUE," ",WEEKNUM(Acciones!$H473,21))</f>
        <v xml:space="preserve"> </v>
      </c>
      <c r="H473" s="53"/>
      <c r="I473" s="66"/>
      <c r="J473" s="53"/>
      <c r="K473" s="48" t="str">
        <f ca="1">IF(AND(ISBLANK(Acciones!$D473)=FALSE,ISBLANK(Acciones!$H473)=TRUE),"Faltan fechas",IF(Acciones!$H473="","",IF(AND(Acciones!$H473&gt;=TODAY(),ISBLANK(Acciones!$J473)=TRUE),"En tiempo",IF(AND(Acciones!$H473&lt;TODAY(),Acciones!$J473=""),"Retrasado",IF(Acciones!$J473&gt;Acciones!$H473,"Cerrado con retraso","Cerrado")))))</f>
        <v/>
      </c>
      <c r="L473" s="61"/>
      <c r="M473" s="74"/>
      <c r="T473" s="26"/>
      <c r="U473" s="26"/>
    </row>
    <row r="474" spans="2:21" x14ac:dyDescent="0.3">
      <c r="B474" s="53"/>
      <c r="C474" s="65"/>
      <c r="D474" s="61"/>
      <c r="E474" s="56"/>
      <c r="F474" s="53"/>
      <c r="G474" s="53" t="str">
        <f>IF(ISBLANK(Acciones!$H474)=TRUE," ",WEEKNUM(Acciones!$H474,21))</f>
        <v xml:space="preserve"> </v>
      </c>
      <c r="H474" s="53"/>
      <c r="I474" s="66"/>
      <c r="J474" s="53"/>
      <c r="K474" s="48" t="str">
        <f ca="1">IF(AND(ISBLANK(Acciones!$D474)=FALSE,ISBLANK(Acciones!$H474)=TRUE),"Faltan fechas",IF(Acciones!$H474="","",IF(AND(Acciones!$H474&gt;=TODAY(),ISBLANK(Acciones!$J474)=TRUE),"En tiempo",IF(AND(Acciones!$H474&lt;TODAY(),Acciones!$J474=""),"Retrasado",IF(Acciones!$J474&gt;Acciones!$H474,"Cerrado con retraso","Cerrado")))))</f>
        <v/>
      </c>
      <c r="L474" s="61"/>
      <c r="M474" s="74"/>
      <c r="T474" s="26"/>
      <c r="U474" s="26"/>
    </row>
    <row r="475" spans="2:21" x14ac:dyDescent="0.3">
      <c r="B475" s="53"/>
      <c r="C475" s="65"/>
      <c r="D475" s="61"/>
      <c r="E475" s="56"/>
      <c r="F475" s="53"/>
      <c r="G475" s="53" t="str">
        <f>IF(ISBLANK(Acciones!$H475)=TRUE," ",WEEKNUM(Acciones!$H475,21))</f>
        <v xml:space="preserve"> </v>
      </c>
      <c r="H475" s="53"/>
      <c r="I475" s="66"/>
      <c r="J475" s="53"/>
      <c r="K475" s="48" t="str">
        <f ca="1">IF(AND(ISBLANK(Acciones!$D475)=FALSE,ISBLANK(Acciones!$H475)=TRUE),"Faltan fechas",IF(Acciones!$H475="","",IF(AND(Acciones!$H475&gt;=TODAY(),ISBLANK(Acciones!$J475)=TRUE),"En tiempo",IF(AND(Acciones!$H475&lt;TODAY(),Acciones!$J475=""),"Retrasado",IF(Acciones!$J475&gt;Acciones!$H475,"Cerrado con retraso","Cerrado")))))</f>
        <v/>
      </c>
      <c r="L475" s="61"/>
      <c r="M475" s="74"/>
      <c r="T475" s="26"/>
      <c r="U475" s="26"/>
    </row>
    <row r="476" spans="2:21" x14ac:dyDescent="0.3">
      <c r="B476" s="53"/>
      <c r="C476" s="65"/>
      <c r="D476" s="61"/>
      <c r="E476" s="56"/>
      <c r="F476" s="53"/>
      <c r="G476" s="53" t="str">
        <f>IF(ISBLANK(Acciones!$H476)=TRUE," ",WEEKNUM(Acciones!$H476,21))</f>
        <v xml:space="preserve"> </v>
      </c>
      <c r="H476" s="53"/>
      <c r="I476" s="66"/>
      <c r="J476" s="53"/>
      <c r="K476" s="48" t="str">
        <f ca="1">IF(AND(ISBLANK(Acciones!$D476)=FALSE,ISBLANK(Acciones!$H476)=TRUE),"Faltan fechas",IF(Acciones!$H476="","",IF(AND(Acciones!$H476&gt;=TODAY(),ISBLANK(Acciones!$J476)=TRUE),"En tiempo",IF(AND(Acciones!$H476&lt;TODAY(),Acciones!$J476=""),"Retrasado",IF(Acciones!$J476&gt;Acciones!$H476,"Cerrado con retraso","Cerrado")))))</f>
        <v/>
      </c>
      <c r="L476" s="61"/>
      <c r="M476" s="74"/>
      <c r="T476" s="26"/>
      <c r="U476" s="26"/>
    </row>
    <row r="477" spans="2:21" x14ac:dyDescent="0.3">
      <c r="B477" s="53"/>
      <c r="C477" s="65"/>
      <c r="D477" s="61"/>
      <c r="E477" s="56"/>
      <c r="F477" s="53"/>
      <c r="G477" s="53" t="str">
        <f>IF(ISBLANK(Acciones!$H477)=TRUE," ",WEEKNUM(Acciones!$H477,21))</f>
        <v xml:space="preserve"> </v>
      </c>
      <c r="H477" s="53"/>
      <c r="I477" s="66"/>
      <c r="J477" s="53"/>
      <c r="K477" s="48" t="str">
        <f ca="1">IF(AND(ISBLANK(Acciones!$D477)=FALSE,ISBLANK(Acciones!$H477)=TRUE),"Faltan fechas",IF(Acciones!$H477="","",IF(AND(Acciones!$H477&gt;=TODAY(),ISBLANK(Acciones!$J477)=TRUE),"En tiempo",IF(AND(Acciones!$H477&lt;TODAY(),Acciones!$J477=""),"Retrasado",IF(Acciones!$J477&gt;Acciones!$H477,"Cerrado con retraso","Cerrado")))))</f>
        <v/>
      </c>
      <c r="L477" s="61"/>
      <c r="M477" s="74"/>
      <c r="T477" s="26"/>
      <c r="U477" s="26"/>
    </row>
    <row r="478" spans="2:21" x14ac:dyDescent="0.3">
      <c r="B478" s="53"/>
      <c r="C478" s="65"/>
      <c r="D478" s="61"/>
      <c r="E478" s="56"/>
      <c r="F478" s="53"/>
      <c r="G478" s="53" t="str">
        <f>IF(ISBLANK(Acciones!$H478)=TRUE," ",WEEKNUM(Acciones!$H478,21))</f>
        <v xml:space="preserve"> </v>
      </c>
      <c r="H478" s="53"/>
      <c r="I478" s="66"/>
      <c r="J478" s="53"/>
      <c r="K478" s="48" t="str">
        <f ca="1">IF(AND(ISBLANK(Acciones!$D478)=FALSE,ISBLANK(Acciones!$H478)=TRUE),"Faltan fechas",IF(Acciones!$H478="","",IF(AND(Acciones!$H478&gt;=TODAY(),ISBLANK(Acciones!$J478)=TRUE),"En tiempo",IF(AND(Acciones!$H478&lt;TODAY(),Acciones!$J478=""),"Retrasado",IF(Acciones!$J478&gt;Acciones!$H478,"Cerrado con retraso","Cerrado")))))</f>
        <v/>
      </c>
      <c r="L478" s="61"/>
      <c r="M478" s="74"/>
      <c r="T478" s="26"/>
      <c r="U478" s="26"/>
    </row>
    <row r="479" spans="2:21" x14ac:dyDescent="0.3">
      <c r="B479" s="53"/>
      <c r="C479" s="65"/>
      <c r="D479" s="61"/>
      <c r="E479" s="56"/>
      <c r="F479" s="53"/>
      <c r="G479" s="53" t="str">
        <f>IF(ISBLANK(Acciones!$H479)=TRUE," ",WEEKNUM(Acciones!$H479,21))</f>
        <v xml:space="preserve"> </v>
      </c>
      <c r="H479" s="53"/>
      <c r="I479" s="66"/>
      <c r="J479" s="53"/>
      <c r="K479" s="48" t="str">
        <f ca="1">IF(AND(ISBLANK(Acciones!$D479)=FALSE,ISBLANK(Acciones!$H479)=TRUE),"Faltan fechas",IF(Acciones!$H479="","",IF(AND(Acciones!$H479&gt;=TODAY(),ISBLANK(Acciones!$J479)=TRUE),"En tiempo",IF(AND(Acciones!$H479&lt;TODAY(),Acciones!$J479=""),"Retrasado",IF(Acciones!$J479&gt;Acciones!$H479,"Cerrado con retraso","Cerrado")))))</f>
        <v/>
      </c>
      <c r="L479" s="61"/>
      <c r="M479" s="74"/>
      <c r="T479" s="26"/>
      <c r="U479" s="26"/>
    </row>
    <row r="480" spans="2:21" x14ac:dyDescent="0.3">
      <c r="B480" s="53"/>
      <c r="C480" s="65"/>
      <c r="D480" s="61"/>
      <c r="E480" s="56"/>
      <c r="F480" s="53"/>
      <c r="G480" s="53" t="str">
        <f>IF(ISBLANK(Acciones!$H480)=TRUE," ",WEEKNUM(Acciones!$H480,21))</f>
        <v xml:space="preserve"> </v>
      </c>
      <c r="H480" s="53"/>
      <c r="I480" s="66"/>
      <c r="J480" s="53"/>
      <c r="K480" s="48" t="str">
        <f ca="1">IF(AND(ISBLANK(Acciones!$D480)=FALSE,ISBLANK(Acciones!$H480)=TRUE),"Faltan fechas",IF(Acciones!$H480="","",IF(AND(Acciones!$H480&gt;=TODAY(),ISBLANK(Acciones!$J480)=TRUE),"En tiempo",IF(AND(Acciones!$H480&lt;TODAY(),Acciones!$J480=""),"Retrasado",IF(Acciones!$J480&gt;Acciones!$H480,"Cerrado con retraso","Cerrado")))))</f>
        <v/>
      </c>
      <c r="L480" s="61"/>
      <c r="M480" s="74"/>
      <c r="T480" s="26"/>
      <c r="U480" s="26"/>
    </row>
    <row r="481" spans="2:21" x14ac:dyDescent="0.3">
      <c r="B481" s="53"/>
      <c r="C481" s="65"/>
      <c r="D481" s="61"/>
      <c r="E481" s="56"/>
      <c r="F481" s="53"/>
      <c r="G481" s="53" t="str">
        <f>IF(ISBLANK(Acciones!$H481)=TRUE," ",WEEKNUM(Acciones!$H481,21))</f>
        <v xml:space="preserve"> </v>
      </c>
      <c r="H481" s="53"/>
      <c r="I481" s="66"/>
      <c r="J481" s="53"/>
      <c r="K481" s="48" t="str">
        <f ca="1">IF(AND(ISBLANK(Acciones!$D481)=FALSE,ISBLANK(Acciones!$H481)=TRUE),"Faltan fechas",IF(Acciones!$H481="","",IF(AND(Acciones!$H481&gt;=TODAY(),ISBLANK(Acciones!$J481)=TRUE),"En tiempo",IF(AND(Acciones!$H481&lt;TODAY(),Acciones!$J481=""),"Retrasado",IF(Acciones!$J481&gt;Acciones!$H481,"Cerrado con retraso","Cerrado")))))</f>
        <v/>
      </c>
      <c r="L481" s="61"/>
      <c r="M481" s="74"/>
      <c r="T481" s="26"/>
      <c r="U481" s="26"/>
    </row>
    <row r="482" spans="2:21" x14ac:dyDescent="0.3">
      <c r="B482" s="53"/>
      <c r="C482" s="65"/>
      <c r="D482" s="61"/>
      <c r="E482" s="56"/>
      <c r="F482" s="53"/>
      <c r="G482" s="53" t="str">
        <f>IF(ISBLANK(Acciones!$H482)=TRUE," ",WEEKNUM(Acciones!$H482,21))</f>
        <v xml:space="preserve"> </v>
      </c>
      <c r="H482" s="53"/>
      <c r="I482" s="66"/>
      <c r="J482" s="53"/>
      <c r="K482" s="48" t="str">
        <f ca="1">IF(AND(ISBLANK(Acciones!$D482)=FALSE,ISBLANK(Acciones!$H482)=TRUE),"Faltan fechas",IF(Acciones!$H482="","",IF(AND(Acciones!$H482&gt;=TODAY(),ISBLANK(Acciones!$J482)=TRUE),"En tiempo",IF(AND(Acciones!$H482&lt;TODAY(),Acciones!$J482=""),"Retrasado",IF(Acciones!$J482&gt;Acciones!$H482,"Cerrado con retraso","Cerrado")))))</f>
        <v/>
      </c>
      <c r="L482" s="61"/>
      <c r="M482" s="74"/>
      <c r="T482" s="26"/>
      <c r="U482" s="26"/>
    </row>
    <row r="483" spans="2:21" x14ac:dyDescent="0.3">
      <c r="B483" s="53"/>
      <c r="C483" s="65"/>
      <c r="D483" s="61"/>
      <c r="E483" s="56"/>
      <c r="F483" s="53"/>
      <c r="G483" s="53" t="str">
        <f>IF(ISBLANK(Acciones!$H483)=TRUE," ",WEEKNUM(Acciones!$H483,21))</f>
        <v xml:space="preserve"> </v>
      </c>
      <c r="H483" s="53"/>
      <c r="I483" s="66"/>
      <c r="J483" s="53"/>
      <c r="K483" s="48" t="str">
        <f ca="1">IF(AND(ISBLANK(Acciones!$D483)=FALSE,ISBLANK(Acciones!$H483)=TRUE),"Faltan fechas",IF(Acciones!$H483="","",IF(AND(Acciones!$H483&gt;=TODAY(),ISBLANK(Acciones!$J483)=TRUE),"En tiempo",IF(AND(Acciones!$H483&lt;TODAY(),Acciones!$J483=""),"Retrasado",IF(Acciones!$J483&gt;Acciones!$H483,"Cerrado con retraso","Cerrado")))))</f>
        <v/>
      </c>
      <c r="L483" s="61"/>
      <c r="M483" s="74"/>
      <c r="T483" s="26"/>
      <c r="U483" s="26"/>
    </row>
    <row r="484" spans="2:21" x14ac:dyDescent="0.3">
      <c r="B484" s="53"/>
      <c r="C484" s="65"/>
      <c r="D484" s="61"/>
      <c r="E484" s="56"/>
      <c r="F484" s="53"/>
      <c r="G484" s="53" t="str">
        <f>IF(ISBLANK(Acciones!$H484)=TRUE," ",WEEKNUM(Acciones!$H484,21))</f>
        <v xml:space="preserve"> </v>
      </c>
      <c r="H484" s="53"/>
      <c r="I484" s="66"/>
      <c r="J484" s="53"/>
      <c r="K484" s="48" t="str">
        <f ca="1">IF(AND(ISBLANK(Acciones!$D484)=FALSE,ISBLANK(Acciones!$H484)=TRUE),"Faltan fechas",IF(Acciones!$H484="","",IF(AND(Acciones!$H484&gt;=TODAY(),ISBLANK(Acciones!$J484)=TRUE),"En tiempo",IF(AND(Acciones!$H484&lt;TODAY(),Acciones!$J484=""),"Retrasado",IF(Acciones!$J484&gt;Acciones!$H484,"Cerrado con retraso","Cerrado")))))</f>
        <v/>
      </c>
      <c r="L484" s="61"/>
      <c r="M484" s="74"/>
      <c r="T484" s="26"/>
      <c r="U484" s="26"/>
    </row>
    <row r="485" spans="2:21" x14ac:dyDescent="0.3">
      <c r="B485" s="53"/>
      <c r="C485" s="65"/>
      <c r="D485" s="61"/>
      <c r="E485" s="56"/>
      <c r="F485" s="53"/>
      <c r="G485" s="53" t="str">
        <f>IF(ISBLANK(Acciones!$H485)=TRUE," ",WEEKNUM(Acciones!$H485,21))</f>
        <v xml:space="preserve"> </v>
      </c>
      <c r="H485" s="53"/>
      <c r="I485" s="66"/>
      <c r="J485" s="53"/>
      <c r="K485" s="48" t="str">
        <f ca="1">IF(AND(ISBLANK(Acciones!$D485)=FALSE,ISBLANK(Acciones!$H485)=TRUE),"Faltan fechas",IF(Acciones!$H485="","",IF(AND(Acciones!$H485&gt;=TODAY(),ISBLANK(Acciones!$J485)=TRUE),"En tiempo",IF(AND(Acciones!$H485&lt;TODAY(),Acciones!$J485=""),"Retrasado",IF(Acciones!$J485&gt;Acciones!$H485,"Cerrado con retraso","Cerrado")))))</f>
        <v/>
      </c>
      <c r="L485" s="61"/>
      <c r="M485" s="74"/>
      <c r="T485" s="26"/>
      <c r="U485" s="26"/>
    </row>
    <row r="486" spans="2:21" x14ac:dyDescent="0.3">
      <c r="B486" s="53"/>
      <c r="C486" s="65"/>
      <c r="D486" s="61"/>
      <c r="E486" s="56"/>
      <c r="F486" s="53"/>
      <c r="G486" s="53" t="str">
        <f>IF(ISBLANK(Acciones!$H486)=TRUE," ",WEEKNUM(Acciones!$H486,21))</f>
        <v xml:space="preserve"> </v>
      </c>
      <c r="H486" s="53"/>
      <c r="I486" s="66"/>
      <c r="J486" s="53"/>
      <c r="K486" s="48" t="str">
        <f ca="1">IF(AND(ISBLANK(Acciones!$D486)=FALSE,ISBLANK(Acciones!$H486)=TRUE),"Faltan fechas",IF(Acciones!$H486="","",IF(AND(Acciones!$H486&gt;=TODAY(),ISBLANK(Acciones!$J486)=TRUE),"En tiempo",IF(AND(Acciones!$H486&lt;TODAY(),Acciones!$J486=""),"Retrasado",IF(Acciones!$J486&gt;Acciones!$H486,"Cerrado con retraso","Cerrado")))))</f>
        <v/>
      </c>
      <c r="L486" s="61"/>
      <c r="M486" s="74"/>
      <c r="T486" s="26"/>
      <c r="U486" s="26"/>
    </row>
    <row r="487" spans="2:21" x14ac:dyDescent="0.3">
      <c r="B487" s="53"/>
      <c r="C487" s="65"/>
      <c r="D487" s="61"/>
      <c r="E487" s="56"/>
      <c r="F487" s="53"/>
      <c r="G487" s="53" t="str">
        <f>IF(ISBLANK(Acciones!$H487)=TRUE," ",WEEKNUM(Acciones!$H487,21))</f>
        <v xml:space="preserve"> </v>
      </c>
      <c r="H487" s="53"/>
      <c r="I487" s="66"/>
      <c r="J487" s="53"/>
      <c r="K487" s="48" t="str">
        <f ca="1">IF(AND(ISBLANK(Acciones!$D487)=FALSE,ISBLANK(Acciones!$H487)=TRUE),"Faltan fechas",IF(Acciones!$H487="","",IF(AND(Acciones!$H487&gt;=TODAY(),ISBLANK(Acciones!$J487)=TRUE),"En tiempo",IF(AND(Acciones!$H487&lt;TODAY(),Acciones!$J487=""),"Retrasado",IF(Acciones!$J487&gt;Acciones!$H487,"Cerrado con retraso","Cerrado")))))</f>
        <v/>
      </c>
      <c r="L487" s="61"/>
      <c r="M487" s="74"/>
      <c r="T487" s="26"/>
      <c r="U487" s="26"/>
    </row>
    <row r="488" spans="2:21" x14ac:dyDescent="0.3">
      <c r="B488" s="53"/>
      <c r="C488" s="65"/>
      <c r="D488" s="61"/>
      <c r="E488" s="56"/>
      <c r="F488" s="53"/>
      <c r="G488" s="53" t="str">
        <f>IF(ISBLANK(Acciones!$H488)=TRUE," ",WEEKNUM(Acciones!$H488,21))</f>
        <v xml:space="preserve"> </v>
      </c>
      <c r="H488" s="53"/>
      <c r="I488" s="66"/>
      <c r="J488" s="53"/>
      <c r="K488" s="48" t="str">
        <f ca="1">IF(AND(ISBLANK(Acciones!$D488)=FALSE,ISBLANK(Acciones!$H488)=TRUE),"Faltan fechas",IF(Acciones!$H488="","",IF(AND(Acciones!$H488&gt;=TODAY(),ISBLANK(Acciones!$J488)=TRUE),"En tiempo",IF(AND(Acciones!$H488&lt;TODAY(),Acciones!$J488=""),"Retrasado",IF(Acciones!$J488&gt;Acciones!$H488,"Cerrado con retraso","Cerrado")))))</f>
        <v/>
      </c>
      <c r="L488" s="61"/>
      <c r="M488" s="74"/>
      <c r="T488" s="26"/>
      <c r="U488" s="26"/>
    </row>
    <row r="489" spans="2:21" x14ac:dyDescent="0.3">
      <c r="B489" s="53"/>
      <c r="C489" s="65"/>
      <c r="D489" s="61"/>
      <c r="E489" s="56"/>
      <c r="F489" s="53"/>
      <c r="G489" s="53" t="str">
        <f>IF(ISBLANK(Acciones!$H489)=TRUE," ",WEEKNUM(Acciones!$H489,21))</f>
        <v xml:space="preserve"> </v>
      </c>
      <c r="H489" s="53"/>
      <c r="I489" s="66"/>
      <c r="J489" s="53"/>
      <c r="K489" s="48" t="str">
        <f ca="1">IF(AND(ISBLANK(Acciones!$D489)=FALSE,ISBLANK(Acciones!$H489)=TRUE),"Faltan fechas",IF(Acciones!$H489="","",IF(AND(Acciones!$H489&gt;=TODAY(),ISBLANK(Acciones!$J489)=TRUE),"En tiempo",IF(AND(Acciones!$H489&lt;TODAY(),Acciones!$J489=""),"Retrasado",IF(Acciones!$J489&gt;Acciones!$H489,"Cerrado con retraso","Cerrado")))))</f>
        <v/>
      </c>
      <c r="L489" s="61"/>
      <c r="M489" s="74"/>
      <c r="T489" s="26"/>
      <c r="U489" s="26"/>
    </row>
    <row r="490" spans="2:21" x14ac:dyDescent="0.3">
      <c r="B490" s="53"/>
      <c r="C490" s="65"/>
      <c r="D490" s="61"/>
      <c r="E490" s="56"/>
      <c r="F490" s="53"/>
      <c r="G490" s="53" t="str">
        <f>IF(ISBLANK(Acciones!$H490)=TRUE," ",WEEKNUM(Acciones!$H490,21))</f>
        <v xml:space="preserve"> </v>
      </c>
      <c r="H490" s="53"/>
      <c r="I490" s="66"/>
      <c r="J490" s="53"/>
      <c r="K490" s="48" t="str">
        <f ca="1">IF(AND(ISBLANK(Acciones!$D490)=FALSE,ISBLANK(Acciones!$H490)=TRUE),"Faltan fechas",IF(Acciones!$H490="","",IF(AND(Acciones!$H490&gt;=TODAY(),ISBLANK(Acciones!$J490)=TRUE),"En tiempo",IF(AND(Acciones!$H490&lt;TODAY(),Acciones!$J490=""),"Retrasado",IF(Acciones!$J490&gt;Acciones!$H490,"Cerrado con retraso","Cerrado")))))</f>
        <v/>
      </c>
      <c r="L490" s="61"/>
      <c r="M490" s="74"/>
      <c r="T490" s="26"/>
      <c r="U490" s="26"/>
    </row>
    <row r="491" spans="2:21" x14ac:dyDescent="0.3">
      <c r="B491" s="53"/>
      <c r="C491" s="65"/>
      <c r="D491" s="61"/>
      <c r="E491" s="56"/>
      <c r="F491" s="53"/>
      <c r="G491" s="53" t="str">
        <f>IF(ISBLANK(Acciones!$H491)=TRUE," ",WEEKNUM(Acciones!$H491,21))</f>
        <v xml:space="preserve"> </v>
      </c>
      <c r="H491" s="53"/>
      <c r="I491" s="66"/>
      <c r="J491" s="53"/>
      <c r="K491" s="48" t="str">
        <f ca="1">IF(AND(ISBLANK(Acciones!$D491)=FALSE,ISBLANK(Acciones!$H491)=TRUE),"Faltan fechas",IF(Acciones!$H491="","",IF(AND(Acciones!$H491&gt;=TODAY(),ISBLANK(Acciones!$J491)=TRUE),"En tiempo",IF(AND(Acciones!$H491&lt;TODAY(),Acciones!$J491=""),"Retrasado",IF(Acciones!$J491&gt;Acciones!$H491,"Cerrado con retraso","Cerrado")))))</f>
        <v/>
      </c>
      <c r="L491" s="61"/>
      <c r="M491" s="74"/>
      <c r="T491" s="26"/>
      <c r="U491" s="26"/>
    </row>
    <row r="492" spans="2:21" x14ac:dyDescent="0.3">
      <c r="B492" s="53"/>
      <c r="C492" s="65"/>
      <c r="D492" s="61"/>
      <c r="E492" s="56"/>
      <c r="F492" s="53"/>
      <c r="G492" s="53" t="str">
        <f>IF(ISBLANK(Acciones!$H492)=TRUE," ",WEEKNUM(Acciones!$H492,21))</f>
        <v xml:space="preserve"> </v>
      </c>
      <c r="H492" s="53"/>
      <c r="I492" s="66"/>
      <c r="J492" s="53"/>
      <c r="K492" s="48" t="str">
        <f ca="1">IF(AND(ISBLANK(Acciones!$D492)=FALSE,ISBLANK(Acciones!$H492)=TRUE),"Faltan fechas",IF(Acciones!$H492="","",IF(AND(Acciones!$H492&gt;=TODAY(),ISBLANK(Acciones!$J492)=TRUE),"En tiempo",IF(AND(Acciones!$H492&lt;TODAY(),Acciones!$J492=""),"Retrasado",IF(Acciones!$J492&gt;Acciones!$H492,"Cerrado con retraso","Cerrado")))))</f>
        <v/>
      </c>
      <c r="L492" s="61"/>
      <c r="M492" s="74"/>
      <c r="T492" s="26"/>
      <c r="U492" s="26"/>
    </row>
    <row r="493" spans="2:21" x14ac:dyDescent="0.3">
      <c r="B493" s="53"/>
      <c r="C493" s="65"/>
      <c r="D493" s="61"/>
      <c r="E493" s="56"/>
      <c r="F493" s="53"/>
      <c r="G493" s="53" t="str">
        <f>IF(ISBLANK(Acciones!$H493)=TRUE," ",WEEKNUM(Acciones!$H493,21))</f>
        <v xml:space="preserve"> </v>
      </c>
      <c r="H493" s="53"/>
      <c r="I493" s="66"/>
      <c r="J493" s="53"/>
      <c r="K493" s="48" t="str">
        <f ca="1">IF(AND(ISBLANK(Acciones!$D493)=FALSE,ISBLANK(Acciones!$H493)=TRUE),"Faltan fechas",IF(Acciones!$H493="","",IF(AND(Acciones!$H493&gt;=TODAY(),ISBLANK(Acciones!$J493)=TRUE),"En tiempo",IF(AND(Acciones!$H493&lt;TODAY(),Acciones!$J493=""),"Retrasado",IF(Acciones!$J493&gt;Acciones!$H493,"Cerrado con retraso","Cerrado")))))</f>
        <v/>
      </c>
      <c r="L493" s="61"/>
      <c r="M493" s="74"/>
      <c r="T493" s="26"/>
      <c r="U493" s="26"/>
    </row>
    <row r="494" spans="2:21" x14ac:dyDescent="0.3">
      <c r="B494" s="53"/>
      <c r="C494" s="65"/>
      <c r="D494" s="61"/>
      <c r="E494" s="56"/>
      <c r="F494" s="53"/>
      <c r="G494" s="53" t="str">
        <f>IF(ISBLANK(Acciones!$H494)=TRUE," ",WEEKNUM(Acciones!$H494,21))</f>
        <v xml:space="preserve"> </v>
      </c>
      <c r="H494" s="53"/>
      <c r="I494" s="66"/>
      <c r="J494" s="53"/>
      <c r="K494" s="48" t="str">
        <f ca="1">IF(AND(ISBLANK(Acciones!$D494)=FALSE,ISBLANK(Acciones!$H494)=TRUE),"Faltan fechas",IF(Acciones!$H494="","",IF(AND(Acciones!$H494&gt;=TODAY(),ISBLANK(Acciones!$J494)=TRUE),"En tiempo",IF(AND(Acciones!$H494&lt;TODAY(),Acciones!$J494=""),"Retrasado",IF(Acciones!$J494&gt;Acciones!$H494,"Cerrado con retraso","Cerrado")))))</f>
        <v/>
      </c>
      <c r="L494" s="61"/>
      <c r="M494" s="74"/>
      <c r="T494" s="26"/>
      <c r="U494" s="26"/>
    </row>
    <row r="495" spans="2:21" x14ac:dyDescent="0.3">
      <c r="B495" s="53"/>
      <c r="C495" s="65"/>
      <c r="D495" s="61"/>
      <c r="E495" s="56"/>
      <c r="F495" s="53"/>
      <c r="G495" s="53" t="str">
        <f>IF(ISBLANK(Acciones!$H495)=TRUE," ",WEEKNUM(Acciones!$H495,21))</f>
        <v xml:space="preserve"> </v>
      </c>
      <c r="H495" s="53"/>
      <c r="I495" s="66"/>
      <c r="J495" s="53"/>
      <c r="K495" s="48" t="str">
        <f ca="1">IF(AND(ISBLANK(Acciones!$D495)=FALSE,ISBLANK(Acciones!$H495)=TRUE),"Faltan fechas",IF(Acciones!$H495="","",IF(AND(Acciones!$H495&gt;=TODAY(),ISBLANK(Acciones!$J495)=TRUE),"En tiempo",IF(AND(Acciones!$H495&lt;TODAY(),Acciones!$J495=""),"Retrasado",IF(Acciones!$J495&gt;Acciones!$H495,"Cerrado con retraso","Cerrado")))))</f>
        <v/>
      </c>
      <c r="L495" s="61"/>
      <c r="M495" s="74"/>
      <c r="T495" s="26"/>
      <c r="U495" s="26"/>
    </row>
    <row r="496" spans="2:21" x14ac:dyDescent="0.3">
      <c r="B496" s="53"/>
      <c r="C496" s="65"/>
      <c r="D496" s="61"/>
      <c r="E496" s="56"/>
      <c r="F496" s="53"/>
      <c r="G496" s="53" t="str">
        <f>IF(ISBLANK(Acciones!$H496)=TRUE," ",WEEKNUM(Acciones!$H496,21))</f>
        <v xml:space="preserve"> </v>
      </c>
      <c r="H496" s="53"/>
      <c r="I496" s="66"/>
      <c r="J496" s="53"/>
      <c r="K496" s="48" t="str">
        <f ca="1">IF(AND(ISBLANK(Acciones!$D496)=FALSE,ISBLANK(Acciones!$H496)=TRUE),"Faltan fechas",IF(Acciones!$H496="","",IF(AND(Acciones!$H496&gt;=TODAY(),ISBLANK(Acciones!$J496)=TRUE),"En tiempo",IF(AND(Acciones!$H496&lt;TODAY(),Acciones!$J496=""),"Retrasado",IF(Acciones!$J496&gt;Acciones!$H496,"Cerrado con retraso","Cerrado")))))</f>
        <v/>
      </c>
      <c r="L496" s="61"/>
      <c r="M496" s="74"/>
      <c r="T496" s="26"/>
      <c r="U496" s="26"/>
    </row>
    <row r="497" spans="2:21" x14ac:dyDescent="0.3">
      <c r="B497" s="53"/>
      <c r="C497" s="65"/>
      <c r="D497" s="61"/>
      <c r="E497" s="56"/>
      <c r="F497" s="53"/>
      <c r="G497" s="53" t="str">
        <f>IF(ISBLANK(Acciones!$H497)=TRUE," ",WEEKNUM(Acciones!$H497,21))</f>
        <v xml:space="preserve"> </v>
      </c>
      <c r="H497" s="53"/>
      <c r="I497" s="66"/>
      <c r="J497" s="53"/>
      <c r="K497" s="48" t="str">
        <f ca="1">IF(AND(ISBLANK(Acciones!$D497)=FALSE,ISBLANK(Acciones!$H497)=TRUE),"Faltan fechas",IF(Acciones!$H497="","",IF(AND(Acciones!$H497&gt;=TODAY(),ISBLANK(Acciones!$J497)=TRUE),"En tiempo",IF(AND(Acciones!$H497&lt;TODAY(),Acciones!$J497=""),"Retrasado",IF(Acciones!$J497&gt;Acciones!$H497,"Cerrado con retraso","Cerrado")))))</f>
        <v/>
      </c>
      <c r="L497" s="61"/>
      <c r="M497" s="74"/>
      <c r="T497" s="26"/>
      <c r="U497" s="26"/>
    </row>
    <row r="498" spans="2:21" x14ac:dyDescent="0.3">
      <c r="B498" s="53"/>
      <c r="C498" s="65"/>
      <c r="D498" s="61"/>
      <c r="E498" s="56"/>
      <c r="F498" s="53"/>
      <c r="G498" s="53" t="str">
        <f>IF(ISBLANK(Acciones!$H498)=TRUE," ",WEEKNUM(Acciones!$H498,21))</f>
        <v xml:space="preserve"> </v>
      </c>
      <c r="H498" s="53"/>
      <c r="I498" s="66"/>
      <c r="J498" s="53"/>
      <c r="K498" s="48" t="str">
        <f ca="1">IF(AND(ISBLANK(Acciones!$D498)=FALSE,ISBLANK(Acciones!$H498)=TRUE),"Faltan fechas",IF(Acciones!$H498="","",IF(AND(Acciones!$H498&gt;=TODAY(),ISBLANK(Acciones!$J498)=TRUE),"En tiempo",IF(AND(Acciones!$H498&lt;TODAY(),Acciones!$J498=""),"Retrasado",IF(Acciones!$J498&gt;Acciones!$H498,"Cerrado con retraso","Cerrado")))))</f>
        <v/>
      </c>
      <c r="L498" s="61"/>
      <c r="M498" s="74"/>
      <c r="T498" s="26"/>
      <c r="U498" s="26"/>
    </row>
    <row r="499" spans="2:21" x14ac:dyDescent="0.3">
      <c r="B499" s="53"/>
      <c r="C499" s="65"/>
      <c r="D499" s="61"/>
      <c r="E499" s="56"/>
      <c r="F499" s="53"/>
      <c r="G499" s="53" t="str">
        <f>IF(ISBLANK(Acciones!$H499)=TRUE," ",WEEKNUM(Acciones!$H499,21))</f>
        <v xml:space="preserve"> </v>
      </c>
      <c r="H499" s="53"/>
      <c r="I499" s="66"/>
      <c r="J499" s="53"/>
      <c r="K499" s="48" t="str">
        <f ca="1">IF(AND(ISBLANK(Acciones!$D499)=FALSE,ISBLANK(Acciones!$H499)=TRUE),"Faltan fechas",IF(Acciones!$H499="","",IF(AND(Acciones!$H499&gt;=TODAY(),ISBLANK(Acciones!$J499)=TRUE),"En tiempo",IF(AND(Acciones!$H499&lt;TODAY(),Acciones!$J499=""),"Retrasado",IF(Acciones!$J499&gt;Acciones!$H499,"Cerrado con retraso","Cerrado")))))</f>
        <v/>
      </c>
      <c r="L499" s="61"/>
      <c r="M499" s="74"/>
      <c r="T499" s="26"/>
      <c r="U499" s="26"/>
    </row>
    <row r="500" spans="2:21" x14ac:dyDescent="0.3">
      <c r="B500" s="53"/>
      <c r="C500" s="65"/>
      <c r="D500" s="61"/>
      <c r="E500" s="56"/>
      <c r="F500" s="53"/>
      <c r="G500" s="53" t="str">
        <f>IF(ISBLANK(Acciones!$H500)=TRUE," ",WEEKNUM(Acciones!$H500,21))</f>
        <v xml:space="preserve"> </v>
      </c>
      <c r="H500" s="53"/>
      <c r="I500" s="66"/>
      <c r="J500" s="53"/>
      <c r="K500" s="48" t="str">
        <f ca="1">IF(AND(ISBLANK(Acciones!$D500)=FALSE,ISBLANK(Acciones!$H500)=TRUE),"Faltan fechas",IF(Acciones!$H500="","",IF(AND(Acciones!$H500&gt;=TODAY(),ISBLANK(Acciones!$J500)=TRUE),"En tiempo",IF(AND(Acciones!$H500&lt;TODAY(),Acciones!$J500=""),"Retrasado",IF(Acciones!$J500&gt;Acciones!$H500,"Cerrado con retraso","Cerrado")))))</f>
        <v/>
      </c>
      <c r="L500" s="61"/>
      <c r="M500" s="74"/>
      <c r="T500" s="26"/>
      <c r="U500" s="26"/>
    </row>
    <row r="501" spans="2:21" x14ac:dyDescent="0.3">
      <c r="B501" s="53"/>
      <c r="C501" s="65"/>
      <c r="D501" s="61"/>
      <c r="E501" s="56"/>
      <c r="F501" s="53"/>
      <c r="G501" s="53" t="str">
        <f>IF(ISBLANK(Acciones!$H501)=TRUE," ",WEEKNUM(Acciones!$H501,21))</f>
        <v xml:space="preserve"> </v>
      </c>
      <c r="H501" s="53"/>
      <c r="I501" s="66"/>
      <c r="J501" s="53"/>
      <c r="K501" s="48" t="str">
        <f ca="1">IF(AND(ISBLANK(Acciones!$D501)=FALSE,ISBLANK(Acciones!$H501)=TRUE),"Faltan fechas",IF(Acciones!$H501="","",IF(AND(Acciones!$H501&gt;=TODAY(),ISBLANK(Acciones!$J501)=TRUE),"En tiempo",IF(AND(Acciones!$H501&lt;TODAY(),Acciones!$J501=""),"Retrasado",IF(Acciones!$J501&gt;Acciones!$H501,"Cerrado con retraso","Cerrado")))))</f>
        <v/>
      </c>
      <c r="L501" s="61"/>
      <c r="M501" s="74"/>
      <c r="T501" s="26"/>
      <c r="U501" s="26"/>
    </row>
    <row r="502" spans="2:21" x14ac:dyDescent="0.3">
      <c r="B502" s="53"/>
      <c r="C502" s="65"/>
      <c r="D502" s="61"/>
      <c r="E502" s="56"/>
      <c r="F502" s="53"/>
      <c r="G502" s="53" t="str">
        <f>IF(ISBLANK(Acciones!$H502)=TRUE," ",WEEKNUM(Acciones!$H502,21))</f>
        <v xml:space="preserve"> </v>
      </c>
      <c r="H502" s="53"/>
      <c r="I502" s="66"/>
      <c r="J502" s="53"/>
      <c r="K502" s="48" t="str">
        <f ca="1">IF(AND(ISBLANK(Acciones!$D502)=FALSE,ISBLANK(Acciones!$H502)=TRUE),"Faltan fechas",IF(Acciones!$H502="","",IF(AND(Acciones!$H502&gt;=TODAY(),ISBLANK(Acciones!$J502)=TRUE),"En tiempo",IF(AND(Acciones!$H502&lt;TODAY(),Acciones!$J502=""),"Retrasado",IF(Acciones!$J502&gt;Acciones!$H502,"Cerrado con retraso","Cerrado")))))</f>
        <v/>
      </c>
      <c r="L502" s="61"/>
      <c r="M502" s="74"/>
      <c r="T502" s="26"/>
      <c r="U502" s="26"/>
    </row>
    <row r="503" spans="2:21" x14ac:dyDescent="0.3">
      <c r="B503" s="53"/>
      <c r="C503" s="65"/>
      <c r="D503" s="61"/>
      <c r="E503" s="56"/>
      <c r="F503" s="53"/>
      <c r="G503" s="53" t="str">
        <f>IF(ISBLANK(Acciones!$H503)=TRUE," ",WEEKNUM(Acciones!$H503,21))</f>
        <v xml:space="preserve"> </v>
      </c>
      <c r="H503" s="53"/>
      <c r="I503" s="66"/>
      <c r="J503" s="53"/>
      <c r="K503" s="48" t="str">
        <f ca="1">IF(AND(ISBLANK(Acciones!$D503)=FALSE,ISBLANK(Acciones!$H503)=TRUE),"Faltan fechas",IF(Acciones!$H503="","",IF(AND(Acciones!$H503&gt;=TODAY(),ISBLANK(Acciones!$J503)=TRUE),"En tiempo",IF(AND(Acciones!$H503&lt;TODAY(),Acciones!$J503=""),"Retrasado",IF(Acciones!$J503&gt;Acciones!$H503,"Cerrado con retraso","Cerrado")))))</f>
        <v/>
      </c>
      <c r="L503" s="61"/>
      <c r="M503" s="74"/>
      <c r="T503" s="26"/>
      <c r="U503" s="26"/>
    </row>
    <row r="504" spans="2:21" x14ac:dyDescent="0.3">
      <c r="B504" s="53"/>
      <c r="C504" s="65"/>
      <c r="D504" s="61"/>
      <c r="E504" s="56"/>
      <c r="F504" s="53"/>
      <c r="G504" s="53" t="str">
        <f>IF(ISBLANK(Acciones!$H504)=TRUE," ",WEEKNUM(Acciones!$H504,21))</f>
        <v xml:space="preserve"> </v>
      </c>
      <c r="H504" s="53"/>
      <c r="I504" s="66"/>
      <c r="J504" s="53"/>
      <c r="K504" s="48" t="str">
        <f ca="1">IF(AND(ISBLANK(Acciones!$D504)=FALSE,ISBLANK(Acciones!$H504)=TRUE),"Faltan fechas",IF(Acciones!$H504="","",IF(AND(Acciones!$H504&gt;=TODAY(),ISBLANK(Acciones!$J504)=TRUE),"En tiempo",IF(AND(Acciones!$H504&lt;TODAY(),Acciones!$J504=""),"Retrasado",IF(Acciones!$J504&gt;Acciones!$H504,"Cerrado con retraso","Cerrado")))))</f>
        <v/>
      </c>
      <c r="L504" s="61"/>
      <c r="M504" s="74"/>
      <c r="T504" s="26"/>
      <c r="U504" s="26"/>
    </row>
    <row r="505" spans="2:21" x14ac:dyDescent="0.3">
      <c r="B505" s="53"/>
      <c r="C505" s="65"/>
      <c r="D505" s="61"/>
      <c r="E505" s="56"/>
      <c r="F505" s="53"/>
      <c r="G505" s="53" t="str">
        <f>IF(ISBLANK(Acciones!$H505)=TRUE," ",WEEKNUM(Acciones!$H505,21))</f>
        <v xml:space="preserve"> </v>
      </c>
      <c r="H505" s="53"/>
      <c r="I505" s="66"/>
      <c r="J505" s="53"/>
      <c r="K505" s="48" t="str">
        <f ca="1">IF(AND(ISBLANK(Acciones!$D505)=FALSE,ISBLANK(Acciones!$H505)=TRUE),"Faltan fechas",IF(Acciones!$H505="","",IF(AND(Acciones!$H505&gt;=TODAY(),ISBLANK(Acciones!$J505)=TRUE),"En tiempo",IF(AND(Acciones!$H505&lt;TODAY(),Acciones!$J505=""),"Retrasado",IF(Acciones!$J505&gt;Acciones!$H505,"Cerrado con retraso","Cerrado")))))</f>
        <v/>
      </c>
      <c r="L505" s="61"/>
      <c r="M505" s="74"/>
      <c r="T505" s="26"/>
      <c r="U505" s="26"/>
    </row>
    <row r="506" spans="2:21" x14ac:dyDescent="0.3">
      <c r="B506" s="53"/>
      <c r="C506" s="65"/>
      <c r="D506" s="61"/>
      <c r="E506" s="56"/>
      <c r="F506" s="53"/>
      <c r="G506" s="53" t="str">
        <f>IF(ISBLANK(Acciones!$H506)=TRUE," ",WEEKNUM(Acciones!$H506,21))</f>
        <v xml:space="preserve"> </v>
      </c>
      <c r="H506" s="53"/>
      <c r="I506" s="66"/>
      <c r="J506" s="53"/>
      <c r="K506" s="48" t="str">
        <f ca="1">IF(AND(ISBLANK(Acciones!$D506)=FALSE,ISBLANK(Acciones!$H506)=TRUE),"Faltan fechas",IF(Acciones!$H506="","",IF(AND(Acciones!$H506&gt;=TODAY(),ISBLANK(Acciones!$J506)=TRUE),"En tiempo",IF(AND(Acciones!$H506&lt;TODAY(),Acciones!$J506=""),"Retrasado",IF(Acciones!$J506&gt;Acciones!$H506,"Cerrado con retraso","Cerrado")))))</f>
        <v/>
      </c>
      <c r="L506" s="61"/>
      <c r="M506" s="74"/>
      <c r="T506" s="26"/>
      <c r="U506" s="26"/>
    </row>
    <row r="507" spans="2:21" x14ac:dyDescent="0.3">
      <c r="B507" s="53"/>
      <c r="C507" s="65"/>
      <c r="D507" s="61"/>
      <c r="E507" s="56"/>
      <c r="F507" s="53"/>
      <c r="G507" s="53" t="str">
        <f>IF(ISBLANK(Acciones!$H507)=TRUE," ",WEEKNUM(Acciones!$H507,21))</f>
        <v xml:space="preserve"> </v>
      </c>
      <c r="H507" s="53"/>
      <c r="I507" s="66"/>
      <c r="J507" s="53"/>
      <c r="K507" s="48" t="str">
        <f ca="1">IF(AND(ISBLANK(Acciones!$D507)=FALSE,ISBLANK(Acciones!$H507)=TRUE),"Faltan fechas",IF(Acciones!$H507="","",IF(AND(Acciones!$H507&gt;=TODAY(),ISBLANK(Acciones!$J507)=TRUE),"En tiempo",IF(AND(Acciones!$H507&lt;TODAY(),Acciones!$J507=""),"Retrasado",IF(Acciones!$J507&gt;Acciones!$H507,"Cerrado con retraso","Cerrado")))))</f>
        <v/>
      </c>
      <c r="L507" s="61"/>
      <c r="M507" s="74"/>
      <c r="T507" s="26"/>
      <c r="U507" s="26"/>
    </row>
    <row r="508" spans="2:21" x14ac:dyDescent="0.3">
      <c r="B508" s="53"/>
      <c r="C508" s="65"/>
      <c r="D508" s="61"/>
      <c r="E508" s="56"/>
      <c r="F508" s="53"/>
      <c r="G508" s="53" t="str">
        <f>IF(ISBLANK(Acciones!$H508)=TRUE," ",WEEKNUM(Acciones!$H508,21))</f>
        <v xml:space="preserve"> </v>
      </c>
      <c r="H508" s="53"/>
      <c r="I508" s="66"/>
      <c r="J508" s="53"/>
      <c r="K508" s="48" t="str">
        <f ca="1">IF(AND(ISBLANK(Acciones!$D508)=FALSE,ISBLANK(Acciones!$H508)=TRUE),"Faltan fechas",IF(Acciones!$H508="","",IF(AND(Acciones!$H508&gt;=TODAY(),ISBLANK(Acciones!$J508)=TRUE),"En tiempo",IF(AND(Acciones!$H508&lt;TODAY(),Acciones!$J508=""),"Retrasado",IF(Acciones!$J508&gt;Acciones!$H508,"Cerrado con retraso","Cerrado")))))</f>
        <v/>
      </c>
      <c r="L508" s="61"/>
      <c r="M508" s="74"/>
      <c r="T508" s="26"/>
      <c r="U508" s="26"/>
    </row>
    <row r="509" spans="2:21" x14ac:dyDescent="0.3">
      <c r="B509" s="53"/>
      <c r="C509" s="65"/>
      <c r="D509" s="61"/>
      <c r="E509" s="56"/>
      <c r="F509" s="53"/>
      <c r="G509" s="53" t="str">
        <f>IF(ISBLANK(Acciones!$H509)=TRUE," ",WEEKNUM(Acciones!$H509,21))</f>
        <v xml:space="preserve"> </v>
      </c>
      <c r="H509" s="53"/>
      <c r="I509" s="66"/>
      <c r="J509" s="53"/>
      <c r="K509" s="48" t="str">
        <f ca="1">IF(AND(ISBLANK(Acciones!$D509)=FALSE,ISBLANK(Acciones!$H509)=TRUE),"Faltan fechas",IF(Acciones!$H509="","",IF(AND(Acciones!$H509&gt;=TODAY(),ISBLANK(Acciones!$J509)=TRUE),"En tiempo",IF(AND(Acciones!$H509&lt;TODAY(),Acciones!$J509=""),"Retrasado",IF(Acciones!$J509&gt;Acciones!$H509,"Cerrado con retraso","Cerrado")))))</f>
        <v/>
      </c>
      <c r="L509" s="61"/>
      <c r="M509" s="74"/>
      <c r="T509" s="26"/>
      <c r="U509" s="26"/>
    </row>
    <row r="510" spans="2:21" x14ac:dyDescent="0.3">
      <c r="B510" s="53"/>
      <c r="C510" s="65"/>
      <c r="D510" s="61"/>
      <c r="E510" s="56"/>
      <c r="F510" s="53"/>
      <c r="G510" s="53" t="str">
        <f>IF(ISBLANK(Acciones!$H510)=TRUE," ",WEEKNUM(Acciones!$H510,21))</f>
        <v xml:space="preserve"> </v>
      </c>
      <c r="H510" s="53"/>
      <c r="I510" s="66"/>
      <c r="J510" s="53"/>
      <c r="K510" s="48" t="str">
        <f ca="1">IF(AND(ISBLANK(Acciones!$D510)=FALSE,ISBLANK(Acciones!$H510)=TRUE),"Faltan fechas",IF(Acciones!$H510="","",IF(AND(Acciones!$H510&gt;=TODAY(),ISBLANK(Acciones!$J510)=TRUE),"En tiempo",IF(AND(Acciones!$H510&lt;TODAY(),Acciones!$J510=""),"Retrasado",IF(Acciones!$J510&gt;Acciones!$H510,"Cerrado con retraso","Cerrado")))))</f>
        <v/>
      </c>
      <c r="L510" s="61"/>
      <c r="M510" s="74"/>
      <c r="T510" s="26"/>
      <c r="U510" s="26"/>
    </row>
    <row r="511" spans="2:21" x14ac:dyDescent="0.3">
      <c r="B511" s="53"/>
      <c r="C511" s="65"/>
      <c r="D511" s="61"/>
      <c r="E511" s="56"/>
      <c r="F511" s="53"/>
      <c r="G511" s="53" t="str">
        <f>IF(ISBLANK(Acciones!$H511)=TRUE," ",WEEKNUM(Acciones!$H511,21))</f>
        <v xml:space="preserve"> </v>
      </c>
      <c r="H511" s="53"/>
      <c r="I511" s="66"/>
      <c r="J511" s="53"/>
      <c r="K511" s="48" t="str">
        <f ca="1">IF(AND(ISBLANK(Acciones!$D511)=FALSE,ISBLANK(Acciones!$H511)=TRUE),"Faltan fechas",IF(Acciones!$H511="","",IF(AND(Acciones!$H511&gt;=TODAY(),ISBLANK(Acciones!$J511)=TRUE),"En tiempo",IF(AND(Acciones!$H511&lt;TODAY(),Acciones!$J511=""),"Retrasado",IF(Acciones!$J511&gt;Acciones!$H511,"Cerrado con retraso","Cerrado")))))</f>
        <v/>
      </c>
      <c r="L511" s="61"/>
      <c r="M511" s="74"/>
      <c r="T511" s="26"/>
      <c r="U511" s="26"/>
    </row>
    <row r="512" spans="2:21" x14ac:dyDescent="0.3">
      <c r="B512" s="53"/>
      <c r="C512" s="65"/>
      <c r="D512" s="61"/>
      <c r="E512" s="56"/>
      <c r="F512" s="53"/>
      <c r="G512" s="53" t="str">
        <f>IF(ISBLANK(Acciones!$H512)=TRUE," ",WEEKNUM(Acciones!$H512,21))</f>
        <v xml:space="preserve"> </v>
      </c>
      <c r="H512" s="53"/>
      <c r="I512" s="66"/>
      <c r="J512" s="53"/>
      <c r="K512" s="48" t="str">
        <f ca="1">IF(AND(ISBLANK(Acciones!$D512)=FALSE,ISBLANK(Acciones!$H512)=TRUE),"Faltan fechas",IF(Acciones!$H512="","",IF(AND(Acciones!$H512&gt;=TODAY(),ISBLANK(Acciones!$J512)=TRUE),"En tiempo",IF(AND(Acciones!$H512&lt;TODAY(),Acciones!$J512=""),"Retrasado",IF(Acciones!$J512&gt;Acciones!$H512,"Cerrado con retraso","Cerrado")))))</f>
        <v/>
      </c>
      <c r="L512" s="61"/>
      <c r="M512" s="74"/>
      <c r="T512" s="26"/>
      <c r="U512" s="26"/>
    </row>
    <row r="513" spans="2:21" x14ac:dyDescent="0.3">
      <c r="B513" s="53"/>
      <c r="C513" s="65"/>
      <c r="D513" s="61"/>
      <c r="E513" s="56"/>
      <c r="F513" s="53"/>
      <c r="G513" s="53" t="str">
        <f>IF(ISBLANK(Acciones!$H513)=TRUE," ",WEEKNUM(Acciones!$H513,21))</f>
        <v xml:space="preserve"> </v>
      </c>
      <c r="H513" s="53"/>
      <c r="I513" s="66"/>
      <c r="J513" s="53"/>
      <c r="K513" s="48" t="str">
        <f ca="1">IF(AND(ISBLANK(Acciones!$D513)=FALSE,ISBLANK(Acciones!$H513)=TRUE),"Faltan fechas",IF(Acciones!$H513="","",IF(AND(Acciones!$H513&gt;=TODAY(),ISBLANK(Acciones!$J513)=TRUE),"En tiempo",IF(AND(Acciones!$H513&lt;TODAY(),Acciones!$J513=""),"Retrasado",IF(Acciones!$J513&gt;Acciones!$H513,"Cerrado con retraso","Cerrado")))))</f>
        <v/>
      </c>
      <c r="L513" s="61"/>
      <c r="M513" s="74"/>
      <c r="T513" s="26"/>
      <c r="U513" s="26"/>
    </row>
    <row r="514" spans="2:21" x14ac:dyDescent="0.3">
      <c r="B514" s="53"/>
      <c r="C514" s="65"/>
      <c r="D514" s="61"/>
      <c r="E514" s="56"/>
      <c r="F514" s="53"/>
      <c r="G514" s="53" t="str">
        <f>IF(ISBLANK(Acciones!$H514)=TRUE," ",WEEKNUM(Acciones!$H514,21))</f>
        <v xml:space="preserve"> </v>
      </c>
      <c r="H514" s="53"/>
      <c r="I514" s="66"/>
      <c r="J514" s="53"/>
      <c r="K514" s="48" t="str">
        <f ca="1">IF(AND(ISBLANK(Acciones!$D514)=FALSE,ISBLANK(Acciones!$H514)=TRUE),"Faltan fechas",IF(Acciones!$H514="","",IF(AND(Acciones!$H514&gt;=TODAY(),ISBLANK(Acciones!$J514)=TRUE),"En tiempo",IF(AND(Acciones!$H514&lt;TODAY(),Acciones!$J514=""),"Retrasado",IF(Acciones!$J514&gt;Acciones!$H514,"Cerrado con retraso","Cerrado")))))</f>
        <v/>
      </c>
      <c r="L514" s="61"/>
      <c r="M514" s="74"/>
      <c r="T514" s="26"/>
      <c r="U514" s="26"/>
    </row>
    <row r="515" spans="2:21" x14ac:dyDescent="0.3">
      <c r="B515" s="53"/>
      <c r="C515" s="65"/>
      <c r="D515" s="61"/>
      <c r="E515" s="56"/>
      <c r="F515" s="53"/>
      <c r="G515" s="53" t="str">
        <f>IF(ISBLANK(Acciones!$H515)=TRUE," ",WEEKNUM(Acciones!$H515,21))</f>
        <v xml:space="preserve"> </v>
      </c>
      <c r="H515" s="53"/>
      <c r="I515" s="66"/>
      <c r="J515" s="53"/>
      <c r="K515" s="48" t="str">
        <f ca="1">IF(AND(ISBLANK(Acciones!$D515)=FALSE,ISBLANK(Acciones!$H515)=TRUE),"Faltan fechas",IF(Acciones!$H515="","",IF(AND(Acciones!$H515&gt;=TODAY(),ISBLANK(Acciones!$J515)=TRUE),"En tiempo",IF(AND(Acciones!$H515&lt;TODAY(),Acciones!$J515=""),"Retrasado",IF(Acciones!$J515&gt;Acciones!$H515,"Cerrado con retraso","Cerrado")))))</f>
        <v/>
      </c>
      <c r="L515" s="61"/>
      <c r="M515" s="74"/>
      <c r="T515" s="26"/>
      <c r="U515" s="26"/>
    </row>
    <row r="516" spans="2:21" x14ac:dyDescent="0.3">
      <c r="B516" s="53"/>
      <c r="C516" s="65"/>
      <c r="D516" s="61"/>
      <c r="E516" s="56"/>
      <c r="F516" s="53"/>
      <c r="G516" s="53" t="str">
        <f>IF(ISBLANK(Acciones!$H516)=TRUE," ",WEEKNUM(Acciones!$H516,21))</f>
        <v xml:space="preserve"> </v>
      </c>
      <c r="H516" s="53"/>
      <c r="I516" s="66"/>
      <c r="J516" s="53"/>
      <c r="K516" s="48" t="str">
        <f ca="1">IF(AND(ISBLANK(Acciones!$D516)=FALSE,ISBLANK(Acciones!$H516)=TRUE),"Faltan fechas",IF(Acciones!$H516="","",IF(AND(Acciones!$H516&gt;=TODAY(),ISBLANK(Acciones!$J516)=TRUE),"En tiempo",IF(AND(Acciones!$H516&lt;TODAY(),Acciones!$J516=""),"Retrasado",IF(Acciones!$J516&gt;Acciones!$H516,"Cerrado con retraso","Cerrado")))))</f>
        <v/>
      </c>
      <c r="L516" s="61"/>
      <c r="M516" s="74"/>
      <c r="T516" s="26"/>
      <c r="U516" s="26"/>
    </row>
    <row r="517" spans="2:21" x14ac:dyDescent="0.3">
      <c r="B517" s="53"/>
      <c r="C517" s="65"/>
      <c r="D517" s="61"/>
      <c r="E517" s="56"/>
      <c r="F517" s="53"/>
      <c r="G517" s="53" t="str">
        <f>IF(ISBLANK(Acciones!$H517)=TRUE," ",WEEKNUM(Acciones!$H517,21))</f>
        <v xml:space="preserve"> </v>
      </c>
      <c r="H517" s="53"/>
      <c r="I517" s="66"/>
      <c r="J517" s="53"/>
      <c r="K517" s="48" t="str">
        <f ca="1">IF(AND(ISBLANK(Acciones!$D517)=FALSE,ISBLANK(Acciones!$H517)=TRUE),"Faltan fechas",IF(Acciones!$H517="","",IF(AND(Acciones!$H517&gt;=TODAY(),ISBLANK(Acciones!$J517)=TRUE),"En tiempo",IF(AND(Acciones!$H517&lt;TODAY(),Acciones!$J517=""),"Retrasado",IF(Acciones!$J517&gt;Acciones!$H517,"Cerrado con retraso","Cerrado")))))</f>
        <v/>
      </c>
      <c r="L517" s="61"/>
      <c r="M517" s="74"/>
      <c r="T517" s="26"/>
      <c r="U517" s="26"/>
    </row>
    <row r="518" spans="2:21" x14ac:dyDescent="0.3">
      <c r="B518" s="53"/>
      <c r="C518" s="65"/>
      <c r="D518" s="61"/>
      <c r="E518" s="56"/>
      <c r="F518" s="53"/>
      <c r="G518" s="53" t="str">
        <f>IF(ISBLANK(Acciones!$H518)=TRUE," ",WEEKNUM(Acciones!$H518,21))</f>
        <v xml:space="preserve"> </v>
      </c>
      <c r="H518" s="53"/>
      <c r="I518" s="66"/>
      <c r="J518" s="53"/>
      <c r="K518" s="48" t="str">
        <f ca="1">IF(AND(ISBLANK(Acciones!$D518)=FALSE,ISBLANK(Acciones!$H518)=TRUE),"Faltan fechas",IF(Acciones!$H518="","",IF(AND(Acciones!$H518&gt;=TODAY(),ISBLANK(Acciones!$J518)=TRUE),"En tiempo",IF(AND(Acciones!$H518&lt;TODAY(),Acciones!$J518=""),"Retrasado",IF(Acciones!$J518&gt;Acciones!$H518,"Cerrado con retraso","Cerrado")))))</f>
        <v/>
      </c>
      <c r="L518" s="61"/>
      <c r="M518" s="74"/>
      <c r="T518" s="26"/>
      <c r="U518" s="26"/>
    </row>
    <row r="519" spans="2:21" x14ac:dyDescent="0.3">
      <c r="B519" s="53"/>
      <c r="C519" s="65"/>
      <c r="D519" s="61"/>
      <c r="E519" s="56"/>
      <c r="F519" s="53"/>
      <c r="G519" s="53" t="str">
        <f>IF(ISBLANK(Acciones!$H519)=TRUE," ",WEEKNUM(Acciones!$H519,21))</f>
        <v xml:space="preserve"> </v>
      </c>
      <c r="H519" s="53"/>
      <c r="I519" s="66"/>
      <c r="J519" s="53"/>
      <c r="K519" s="48" t="str">
        <f ca="1">IF(AND(ISBLANK(Acciones!$D519)=FALSE,ISBLANK(Acciones!$H519)=TRUE),"Faltan fechas",IF(Acciones!$H519="","",IF(AND(Acciones!$H519&gt;=TODAY(),ISBLANK(Acciones!$J519)=TRUE),"En tiempo",IF(AND(Acciones!$H519&lt;TODAY(),Acciones!$J519=""),"Retrasado",IF(Acciones!$J519&gt;Acciones!$H519,"Cerrado con retraso","Cerrado")))))</f>
        <v/>
      </c>
      <c r="L519" s="61"/>
      <c r="M519" s="74"/>
      <c r="T519" s="26"/>
      <c r="U519" s="26"/>
    </row>
    <row r="520" spans="2:21" x14ac:dyDescent="0.3">
      <c r="B520" s="53"/>
      <c r="C520" s="65"/>
      <c r="D520" s="61"/>
      <c r="E520" s="56"/>
      <c r="F520" s="53"/>
      <c r="G520" s="53" t="str">
        <f>IF(ISBLANK(Acciones!$H520)=TRUE," ",WEEKNUM(Acciones!$H520,21))</f>
        <v xml:space="preserve"> </v>
      </c>
      <c r="H520" s="53"/>
      <c r="I520" s="66"/>
      <c r="J520" s="53"/>
      <c r="K520" s="48" t="str">
        <f ca="1">IF(AND(ISBLANK(Acciones!$D520)=FALSE,ISBLANK(Acciones!$H520)=TRUE),"Faltan fechas",IF(Acciones!$H520="","",IF(AND(Acciones!$H520&gt;=TODAY(),ISBLANK(Acciones!$J520)=TRUE),"En tiempo",IF(AND(Acciones!$H520&lt;TODAY(),Acciones!$J520=""),"Retrasado",IF(Acciones!$J520&gt;Acciones!$H520,"Cerrado con retraso","Cerrado")))))</f>
        <v/>
      </c>
      <c r="L520" s="61"/>
      <c r="M520" s="74"/>
      <c r="T520" s="26"/>
      <c r="U520" s="26"/>
    </row>
    <row r="521" spans="2:21" x14ac:dyDescent="0.3">
      <c r="B521" s="53"/>
      <c r="C521" s="65"/>
      <c r="D521" s="61"/>
      <c r="E521" s="56"/>
      <c r="F521" s="53"/>
      <c r="G521" s="53" t="str">
        <f>IF(ISBLANK(Acciones!$H521)=TRUE," ",WEEKNUM(Acciones!$H521,21))</f>
        <v xml:space="preserve"> </v>
      </c>
      <c r="H521" s="53"/>
      <c r="I521" s="66"/>
      <c r="J521" s="53"/>
      <c r="K521" s="48" t="str">
        <f ca="1">IF(AND(ISBLANK(Acciones!$D521)=FALSE,ISBLANK(Acciones!$H521)=TRUE),"Faltan fechas",IF(Acciones!$H521="","",IF(AND(Acciones!$H521&gt;=TODAY(),ISBLANK(Acciones!$J521)=TRUE),"En tiempo",IF(AND(Acciones!$H521&lt;TODAY(),Acciones!$J521=""),"Retrasado",IF(Acciones!$J521&gt;Acciones!$H521,"Cerrado con retraso","Cerrado")))))</f>
        <v/>
      </c>
      <c r="L521" s="61"/>
      <c r="M521" s="74"/>
      <c r="T521" s="26"/>
      <c r="U521" s="26"/>
    </row>
    <row r="522" spans="2:21" x14ac:dyDescent="0.3">
      <c r="B522" s="53"/>
      <c r="C522" s="65"/>
      <c r="D522" s="61"/>
      <c r="E522" s="56"/>
      <c r="F522" s="53"/>
      <c r="G522" s="53" t="str">
        <f>IF(ISBLANK(Acciones!$H522)=TRUE," ",WEEKNUM(Acciones!$H522,21))</f>
        <v xml:space="preserve"> </v>
      </c>
      <c r="H522" s="53"/>
      <c r="I522" s="66"/>
      <c r="J522" s="53"/>
      <c r="K522" s="48" t="str">
        <f ca="1">IF(AND(ISBLANK(Acciones!$D522)=FALSE,ISBLANK(Acciones!$H522)=TRUE),"Faltan fechas",IF(Acciones!$H522="","",IF(AND(Acciones!$H522&gt;=TODAY(),ISBLANK(Acciones!$J522)=TRUE),"En tiempo",IF(AND(Acciones!$H522&lt;TODAY(),Acciones!$J522=""),"Retrasado",IF(Acciones!$J522&gt;Acciones!$H522,"Cerrado con retraso","Cerrado")))))</f>
        <v/>
      </c>
      <c r="L522" s="61"/>
      <c r="M522" s="74"/>
      <c r="T522" s="26"/>
      <c r="U522" s="26"/>
    </row>
    <row r="523" spans="2:21" x14ac:dyDescent="0.3">
      <c r="B523" s="53"/>
      <c r="C523" s="65"/>
      <c r="D523" s="61"/>
      <c r="E523" s="56"/>
      <c r="F523" s="53"/>
      <c r="G523" s="53" t="str">
        <f>IF(ISBLANK(Acciones!$H523)=TRUE," ",WEEKNUM(Acciones!$H523,21))</f>
        <v xml:space="preserve"> </v>
      </c>
      <c r="H523" s="53"/>
      <c r="I523" s="66"/>
      <c r="J523" s="53"/>
      <c r="K523" s="48" t="str">
        <f ca="1">IF(AND(ISBLANK(Acciones!$D523)=FALSE,ISBLANK(Acciones!$H523)=TRUE),"Faltan fechas",IF(Acciones!$H523="","",IF(AND(Acciones!$H523&gt;=TODAY(),ISBLANK(Acciones!$J523)=TRUE),"En tiempo",IF(AND(Acciones!$H523&lt;TODAY(),Acciones!$J523=""),"Retrasado",IF(Acciones!$J523&gt;Acciones!$H523,"Cerrado con retraso","Cerrado")))))</f>
        <v/>
      </c>
      <c r="L523" s="61"/>
      <c r="M523" s="74"/>
      <c r="T523" s="26"/>
      <c r="U523" s="26"/>
    </row>
    <row r="524" spans="2:21" x14ac:dyDescent="0.3">
      <c r="B524" s="53"/>
      <c r="C524" s="65"/>
      <c r="D524" s="61"/>
      <c r="E524" s="56"/>
      <c r="F524" s="53"/>
      <c r="G524" s="53" t="str">
        <f>IF(ISBLANK(Acciones!$H524)=TRUE," ",WEEKNUM(Acciones!$H524,21))</f>
        <v xml:space="preserve"> </v>
      </c>
      <c r="H524" s="53"/>
      <c r="I524" s="66"/>
      <c r="J524" s="53"/>
      <c r="K524" s="48" t="str">
        <f ca="1">IF(AND(ISBLANK(Acciones!$D524)=FALSE,ISBLANK(Acciones!$H524)=TRUE),"Faltan fechas",IF(Acciones!$H524="","",IF(AND(Acciones!$H524&gt;=TODAY(),ISBLANK(Acciones!$J524)=TRUE),"En tiempo",IF(AND(Acciones!$H524&lt;TODAY(),Acciones!$J524=""),"Retrasado",IF(Acciones!$J524&gt;Acciones!$H524,"Cerrado con retraso","Cerrado")))))</f>
        <v/>
      </c>
      <c r="L524" s="61"/>
      <c r="M524" s="74"/>
      <c r="T524" s="26"/>
      <c r="U524" s="26"/>
    </row>
    <row r="525" spans="2:21" x14ac:dyDescent="0.3">
      <c r="B525" s="53"/>
      <c r="C525" s="65"/>
      <c r="D525" s="61"/>
      <c r="E525" s="56"/>
      <c r="F525" s="53"/>
      <c r="G525" s="53" t="str">
        <f>IF(ISBLANK(Acciones!$H525)=TRUE," ",WEEKNUM(Acciones!$H525,21))</f>
        <v xml:space="preserve"> </v>
      </c>
      <c r="H525" s="53"/>
      <c r="I525" s="66"/>
      <c r="J525" s="53"/>
      <c r="K525" s="48" t="str">
        <f ca="1">IF(AND(ISBLANK(Acciones!$D525)=FALSE,ISBLANK(Acciones!$H525)=TRUE),"Faltan fechas",IF(Acciones!$H525="","",IF(AND(Acciones!$H525&gt;=TODAY(),ISBLANK(Acciones!$J525)=TRUE),"En tiempo",IF(AND(Acciones!$H525&lt;TODAY(),Acciones!$J525=""),"Retrasado",IF(Acciones!$J525&gt;Acciones!$H525,"Cerrado con retraso","Cerrado")))))</f>
        <v/>
      </c>
      <c r="L525" s="61"/>
      <c r="M525" s="74"/>
      <c r="T525" s="26"/>
      <c r="U525" s="26"/>
    </row>
    <row r="526" spans="2:21" x14ac:dyDescent="0.3">
      <c r="B526" s="53"/>
      <c r="C526" s="65"/>
      <c r="D526" s="61"/>
      <c r="E526" s="56"/>
      <c r="F526" s="53"/>
      <c r="G526" s="53" t="str">
        <f>IF(ISBLANK(Acciones!$H526)=TRUE," ",WEEKNUM(Acciones!$H526,21))</f>
        <v xml:space="preserve"> </v>
      </c>
      <c r="H526" s="53"/>
      <c r="I526" s="66"/>
      <c r="J526" s="53"/>
      <c r="K526" s="48" t="str">
        <f ca="1">IF(AND(ISBLANK(Acciones!$D526)=FALSE,ISBLANK(Acciones!$H526)=TRUE),"Faltan fechas",IF(Acciones!$H526="","",IF(AND(Acciones!$H526&gt;=TODAY(),ISBLANK(Acciones!$J526)=TRUE),"En tiempo",IF(AND(Acciones!$H526&lt;TODAY(),Acciones!$J526=""),"Retrasado",IF(Acciones!$J526&gt;Acciones!$H526,"Cerrado con retraso","Cerrado")))))</f>
        <v/>
      </c>
      <c r="L526" s="61"/>
      <c r="M526" s="74"/>
      <c r="T526" s="26"/>
      <c r="U526" s="26"/>
    </row>
    <row r="527" spans="2:21" x14ac:dyDescent="0.3">
      <c r="B527" s="53"/>
      <c r="C527" s="65"/>
      <c r="D527" s="61"/>
      <c r="E527" s="56"/>
      <c r="F527" s="53"/>
      <c r="G527" s="53" t="str">
        <f>IF(ISBLANK(Acciones!$H527)=TRUE," ",WEEKNUM(Acciones!$H527,21))</f>
        <v xml:space="preserve"> </v>
      </c>
      <c r="H527" s="53"/>
      <c r="I527" s="66"/>
      <c r="J527" s="53"/>
      <c r="K527" s="48" t="str">
        <f ca="1">IF(AND(ISBLANK(Acciones!$D527)=FALSE,ISBLANK(Acciones!$H527)=TRUE),"Faltan fechas",IF(Acciones!$H527="","",IF(AND(Acciones!$H527&gt;=TODAY(),ISBLANK(Acciones!$J527)=TRUE),"En tiempo",IF(AND(Acciones!$H527&lt;TODAY(),Acciones!$J527=""),"Retrasado",IF(Acciones!$J527&gt;Acciones!$H527,"Cerrado con retraso","Cerrado")))))</f>
        <v/>
      </c>
      <c r="L527" s="61"/>
      <c r="M527" s="74"/>
      <c r="T527" s="26"/>
      <c r="U527" s="26"/>
    </row>
    <row r="528" spans="2:21" x14ac:dyDescent="0.3">
      <c r="B528" s="53"/>
      <c r="C528" s="65"/>
      <c r="D528" s="61"/>
      <c r="E528" s="56"/>
      <c r="F528" s="53"/>
      <c r="G528" s="53" t="str">
        <f>IF(ISBLANK(Acciones!$H528)=TRUE," ",WEEKNUM(Acciones!$H528,21))</f>
        <v xml:space="preserve"> </v>
      </c>
      <c r="H528" s="53"/>
      <c r="I528" s="66"/>
      <c r="J528" s="53"/>
      <c r="K528" s="48" t="str">
        <f ca="1">IF(AND(ISBLANK(Acciones!$D528)=FALSE,ISBLANK(Acciones!$H528)=TRUE),"Faltan fechas",IF(Acciones!$H528="","",IF(AND(Acciones!$H528&gt;=TODAY(),ISBLANK(Acciones!$J528)=TRUE),"En tiempo",IF(AND(Acciones!$H528&lt;TODAY(),Acciones!$J528=""),"Retrasado",IF(Acciones!$J528&gt;Acciones!$H528,"Cerrado con retraso","Cerrado")))))</f>
        <v/>
      </c>
      <c r="L528" s="61"/>
      <c r="M528" s="74"/>
      <c r="T528" s="26"/>
      <c r="U528" s="26"/>
    </row>
    <row r="529" spans="2:21" x14ac:dyDescent="0.3">
      <c r="B529" s="53"/>
      <c r="C529" s="65"/>
      <c r="D529" s="61"/>
      <c r="E529" s="56"/>
      <c r="F529" s="53"/>
      <c r="G529" s="53" t="str">
        <f>IF(ISBLANK(Acciones!$H529)=TRUE," ",WEEKNUM(Acciones!$H529,21))</f>
        <v xml:space="preserve"> </v>
      </c>
      <c r="H529" s="53"/>
      <c r="I529" s="66"/>
      <c r="J529" s="53"/>
      <c r="K529" s="48" t="str">
        <f ca="1">IF(AND(ISBLANK(Acciones!$D529)=FALSE,ISBLANK(Acciones!$H529)=TRUE),"Faltan fechas",IF(Acciones!$H529="","",IF(AND(Acciones!$H529&gt;=TODAY(),ISBLANK(Acciones!$J529)=TRUE),"En tiempo",IF(AND(Acciones!$H529&lt;TODAY(),Acciones!$J529=""),"Retrasado",IF(Acciones!$J529&gt;Acciones!$H529,"Cerrado con retraso","Cerrado")))))</f>
        <v/>
      </c>
      <c r="L529" s="61"/>
      <c r="M529" s="74"/>
      <c r="T529" s="26"/>
      <c r="U529" s="26"/>
    </row>
    <row r="530" spans="2:21" x14ac:dyDescent="0.3">
      <c r="B530" s="53"/>
      <c r="C530" s="65"/>
      <c r="D530" s="61"/>
      <c r="E530" s="56"/>
      <c r="F530" s="53"/>
      <c r="G530" s="53" t="str">
        <f>IF(ISBLANK(Acciones!$H530)=TRUE," ",WEEKNUM(Acciones!$H530,21))</f>
        <v xml:space="preserve"> </v>
      </c>
      <c r="H530" s="53"/>
      <c r="I530" s="66"/>
      <c r="J530" s="53"/>
      <c r="K530" s="48" t="str">
        <f ca="1">IF(AND(ISBLANK(Acciones!$D530)=FALSE,ISBLANK(Acciones!$H530)=TRUE),"Faltan fechas",IF(Acciones!$H530="","",IF(AND(Acciones!$H530&gt;=TODAY(),ISBLANK(Acciones!$J530)=TRUE),"En tiempo",IF(AND(Acciones!$H530&lt;TODAY(),Acciones!$J530=""),"Retrasado",IF(Acciones!$J530&gt;Acciones!$H530,"Cerrado con retraso","Cerrado")))))</f>
        <v/>
      </c>
      <c r="L530" s="61"/>
      <c r="M530" s="74"/>
      <c r="T530" s="26"/>
      <c r="U530" s="26"/>
    </row>
    <row r="531" spans="2:21" x14ac:dyDescent="0.3">
      <c r="B531" s="53"/>
      <c r="C531" s="65"/>
      <c r="D531" s="61"/>
      <c r="E531" s="56"/>
      <c r="F531" s="53"/>
      <c r="G531" s="53" t="str">
        <f>IF(ISBLANK(Acciones!$H531)=TRUE," ",WEEKNUM(Acciones!$H531,21))</f>
        <v xml:space="preserve"> </v>
      </c>
      <c r="H531" s="53"/>
      <c r="I531" s="66"/>
      <c r="J531" s="53"/>
      <c r="K531" s="48" t="str">
        <f ca="1">IF(AND(ISBLANK(Acciones!$D531)=FALSE,ISBLANK(Acciones!$H531)=TRUE),"Faltan fechas",IF(Acciones!$H531="","",IF(AND(Acciones!$H531&gt;=TODAY(),ISBLANK(Acciones!$J531)=TRUE),"En tiempo",IF(AND(Acciones!$H531&lt;TODAY(),Acciones!$J531=""),"Retrasado",IF(Acciones!$J531&gt;Acciones!$H531,"Cerrado con retraso","Cerrado")))))</f>
        <v/>
      </c>
      <c r="L531" s="61"/>
      <c r="M531" s="74"/>
      <c r="T531" s="26"/>
      <c r="U531" s="26"/>
    </row>
    <row r="532" spans="2:21" x14ac:dyDescent="0.3">
      <c r="B532" s="53"/>
      <c r="C532" s="65"/>
      <c r="D532" s="61"/>
      <c r="E532" s="56"/>
      <c r="F532" s="53"/>
      <c r="G532" s="53" t="str">
        <f>IF(ISBLANK(Acciones!$H532)=TRUE," ",WEEKNUM(Acciones!$H532,21))</f>
        <v xml:space="preserve"> </v>
      </c>
      <c r="H532" s="53"/>
      <c r="I532" s="66"/>
      <c r="J532" s="53"/>
      <c r="K532" s="48" t="str">
        <f ca="1">IF(AND(ISBLANK(Acciones!$D532)=FALSE,ISBLANK(Acciones!$H532)=TRUE),"Faltan fechas",IF(Acciones!$H532="","",IF(AND(Acciones!$H532&gt;=TODAY(),ISBLANK(Acciones!$J532)=TRUE),"En tiempo",IF(AND(Acciones!$H532&lt;TODAY(),Acciones!$J532=""),"Retrasado",IF(Acciones!$J532&gt;Acciones!$H532,"Cerrado con retraso","Cerrado")))))</f>
        <v/>
      </c>
      <c r="L532" s="61"/>
      <c r="M532" s="74"/>
      <c r="T532" s="26"/>
      <c r="U532" s="26"/>
    </row>
    <row r="533" spans="2:21" x14ac:dyDescent="0.3">
      <c r="B533" s="53"/>
      <c r="C533" s="65"/>
      <c r="D533" s="61"/>
      <c r="E533" s="56"/>
      <c r="F533" s="53"/>
      <c r="G533" s="53" t="str">
        <f>IF(ISBLANK(Acciones!$H533)=TRUE," ",WEEKNUM(Acciones!$H533,21))</f>
        <v xml:space="preserve"> </v>
      </c>
      <c r="H533" s="53"/>
      <c r="I533" s="66"/>
      <c r="J533" s="53"/>
      <c r="K533" s="48" t="str">
        <f ca="1">IF(AND(ISBLANK(Acciones!$D533)=FALSE,ISBLANK(Acciones!$H533)=TRUE),"Faltan fechas",IF(Acciones!$H533="","",IF(AND(Acciones!$H533&gt;=TODAY(),ISBLANK(Acciones!$J533)=TRUE),"En tiempo",IF(AND(Acciones!$H533&lt;TODAY(),Acciones!$J533=""),"Retrasado",IF(Acciones!$J533&gt;Acciones!$H533,"Cerrado con retraso","Cerrado")))))</f>
        <v/>
      </c>
      <c r="L533" s="61"/>
      <c r="M533" s="74"/>
      <c r="T533" s="26"/>
      <c r="U533" s="26"/>
    </row>
    <row r="534" spans="2:21" x14ac:dyDescent="0.3">
      <c r="B534" s="53"/>
      <c r="C534" s="65"/>
      <c r="D534" s="61"/>
      <c r="E534" s="56"/>
      <c r="F534" s="53"/>
      <c r="G534" s="53" t="str">
        <f>IF(ISBLANK(Acciones!$H534)=TRUE," ",WEEKNUM(Acciones!$H534,21))</f>
        <v xml:space="preserve"> </v>
      </c>
      <c r="H534" s="53"/>
      <c r="I534" s="66"/>
      <c r="J534" s="53"/>
      <c r="K534" s="48" t="str">
        <f ca="1">IF(AND(ISBLANK(Acciones!$D534)=FALSE,ISBLANK(Acciones!$H534)=TRUE),"Faltan fechas",IF(Acciones!$H534="","",IF(AND(Acciones!$H534&gt;=TODAY(),ISBLANK(Acciones!$J534)=TRUE),"En tiempo",IF(AND(Acciones!$H534&lt;TODAY(),Acciones!$J534=""),"Retrasado",IF(Acciones!$J534&gt;Acciones!$H534,"Cerrado con retraso","Cerrado")))))</f>
        <v/>
      </c>
      <c r="L534" s="61"/>
      <c r="M534" s="74"/>
      <c r="T534" s="26"/>
      <c r="U534" s="26"/>
    </row>
    <row r="535" spans="2:21" x14ac:dyDescent="0.3">
      <c r="B535" s="53"/>
      <c r="C535" s="65"/>
      <c r="D535" s="61"/>
      <c r="E535" s="56"/>
      <c r="F535" s="53"/>
      <c r="G535" s="53" t="str">
        <f>IF(ISBLANK(Acciones!$H535)=TRUE," ",WEEKNUM(Acciones!$H535,21))</f>
        <v xml:space="preserve"> </v>
      </c>
      <c r="H535" s="53"/>
      <c r="I535" s="66"/>
      <c r="J535" s="53"/>
      <c r="K535" s="48" t="str">
        <f ca="1">IF(AND(ISBLANK(Acciones!$D535)=FALSE,ISBLANK(Acciones!$H535)=TRUE),"Faltan fechas",IF(Acciones!$H535="","",IF(AND(Acciones!$H535&gt;=TODAY(),ISBLANK(Acciones!$J535)=TRUE),"En tiempo",IF(AND(Acciones!$H535&lt;TODAY(),Acciones!$J535=""),"Retrasado",IF(Acciones!$J535&gt;Acciones!$H535,"Cerrado con retraso","Cerrado")))))</f>
        <v/>
      </c>
      <c r="L535" s="61"/>
      <c r="M535" s="74"/>
      <c r="T535" s="26"/>
      <c r="U535" s="26"/>
    </row>
    <row r="536" spans="2:21" x14ac:dyDescent="0.3">
      <c r="B536" s="53"/>
      <c r="C536" s="65"/>
      <c r="D536" s="61"/>
      <c r="E536" s="56"/>
      <c r="F536" s="53"/>
      <c r="G536" s="53" t="str">
        <f>IF(ISBLANK(Acciones!$H536)=TRUE," ",WEEKNUM(Acciones!$H536,21))</f>
        <v xml:space="preserve"> </v>
      </c>
      <c r="H536" s="53"/>
      <c r="I536" s="66"/>
      <c r="J536" s="53"/>
      <c r="K536" s="48" t="str">
        <f ca="1">IF(AND(ISBLANK(Acciones!$D536)=FALSE,ISBLANK(Acciones!$H536)=TRUE),"Faltan fechas",IF(Acciones!$H536="","",IF(AND(Acciones!$H536&gt;=TODAY(),ISBLANK(Acciones!$J536)=TRUE),"En tiempo",IF(AND(Acciones!$H536&lt;TODAY(),Acciones!$J536=""),"Retrasado",IF(Acciones!$J536&gt;Acciones!$H536,"Cerrado con retraso","Cerrado")))))</f>
        <v/>
      </c>
      <c r="L536" s="61"/>
      <c r="M536" s="74"/>
      <c r="T536" s="26"/>
      <c r="U536" s="26"/>
    </row>
    <row r="537" spans="2:21" x14ac:dyDescent="0.3">
      <c r="B537" s="53"/>
      <c r="C537" s="65"/>
      <c r="D537" s="61"/>
      <c r="E537" s="56"/>
      <c r="F537" s="53"/>
      <c r="G537" s="53" t="str">
        <f>IF(ISBLANK(Acciones!$H537)=TRUE," ",WEEKNUM(Acciones!$H537,21))</f>
        <v xml:space="preserve"> </v>
      </c>
      <c r="H537" s="53"/>
      <c r="I537" s="66"/>
      <c r="J537" s="53"/>
      <c r="K537" s="48" t="str">
        <f ca="1">IF(AND(ISBLANK(Acciones!$D537)=FALSE,ISBLANK(Acciones!$H537)=TRUE),"Faltan fechas",IF(Acciones!$H537="","",IF(AND(Acciones!$H537&gt;=TODAY(),ISBLANK(Acciones!$J537)=TRUE),"En tiempo",IF(AND(Acciones!$H537&lt;TODAY(),Acciones!$J537=""),"Retrasado",IF(Acciones!$J537&gt;Acciones!$H537,"Cerrado con retraso","Cerrado")))))</f>
        <v/>
      </c>
      <c r="L537" s="61"/>
      <c r="M537" s="74"/>
      <c r="T537" s="26"/>
      <c r="U537" s="26"/>
    </row>
    <row r="538" spans="2:21" x14ac:dyDescent="0.3">
      <c r="B538" s="53"/>
      <c r="C538" s="65"/>
      <c r="D538" s="61"/>
      <c r="E538" s="56"/>
      <c r="F538" s="53"/>
      <c r="G538" s="53" t="str">
        <f>IF(ISBLANK(Acciones!$H538)=TRUE," ",WEEKNUM(Acciones!$H538,21))</f>
        <v xml:space="preserve"> </v>
      </c>
      <c r="H538" s="53"/>
      <c r="I538" s="66"/>
      <c r="J538" s="53"/>
      <c r="K538" s="48" t="str">
        <f ca="1">IF(AND(ISBLANK(Acciones!$D538)=FALSE,ISBLANK(Acciones!$H538)=TRUE),"Faltan fechas",IF(Acciones!$H538="","",IF(AND(Acciones!$H538&gt;=TODAY(),ISBLANK(Acciones!$J538)=TRUE),"En tiempo",IF(AND(Acciones!$H538&lt;TODAY(),Acciones!$J538=""),"Retrasado",IF(Acciones!$J538&gt;Acciones!$H538,"Cerrado con retraso","Cerrado")))))</f>
        <v/>
      </c>
      <c r="L538" s="61"/>
      <c r="M538" s="74"/>
      <c r="T538" s="26"/>
      <c r="U538" s="26"/>
    </row>
    <row r="539" spans="2:21" x14ac:dyDescent="0.3">
      <c r="B539" s="53"/>
      <c r="C539" s="65"/>
      <c r="D539" s="61"/>
      <c r="E539" s="56"/>
      <c r="F539" s="53"/>
      <c r="G539" s="53" t="str">
        <f>IF(ISBLANK(Acciones!$H539)=TRUE," ",WEEKNUM(Acciones!$H539,21))</f>
        <v xml:space="preserve"> </v>
      </c>
      <c r="H539" s="53"/>
      <c r="I539" s="66"/>
      <c r="J539" s="53"/>
      <c r="K539" s="48" t="str">
        <f ca="1">IF(AND(ISBLANK(Acciones!$D539)=FALSE,ISBLANK(Acciones!$H539)=TRUE),"Faltan fechas",IF(Acciones!$H539="","",IF(AND(Acciones!$H539&gt;=TODAY(),ISBLANK(Acciones!$J539)=TRUE),"En tiempo",IF(AND(Acciones!$H539&lt;TODAY(),Acciones!$J539=""),"Retrasado",IF(Acciones!$J539&gt;Acciones!$H539,"Cerrado con retraso","Cerrado")))))</f>
        <v/>
      </c>
      <c r="L539" s="61"/>
      <c r="M539" s="74"/>
      <c r="T539" s="26"/>
      <c r="U539" s="26"/>
    </row>
    <row r="540" spans="2:21" x14ac:dyDescent="0.3">
      <c r="B540" s="53"/>
      <c r="C540" s="65"/>
      <c r="D540" s="61"/>
      <c r="E540" s="56"/>
      <c r="F540" s="53"/>
      <c r="G540" s="53" t="str">
        <f>IF(ISBLANK(Acciones!$H540)=TRUE," ",WEEKNUM(Acciones!$H540,21))</f>
        <v xml:space="preserve"> </v>
      </c>
      <c r="H540" s="53"/>
      <c r="I540" s="66"/>
      <c r="J540" s="53"/>
      <c r="K540" s="48" t="str">
        <f ca="1">IF(AND(ISBLANK(Acciones!$D540)=FALSE,ISBLANK(Acciones!$H540)=TRUE),"Faltan fechas",IF(Acciones!$H540="","",IF(AND(Acciones!$H540&gt;=TODAY(),ISBLANK(Acciones!$J540)=TRUE),"En tiempo",IF(AND(Acciones!$H540&lt;TODAY(),Acciones!$J540=""),"Retrasado",IF(Acciones!$J540&gt;Acciones!$H540,"Cerrado con retraso","Cerrado")))))</f>
        <v/>
      </c>
      <c r="L540" s="61"/>
      <c r="M540" s="74"/>
      <c r="T540" s="26"/>
      <c r="U540" s="26"/>
    </row>
    <row r="541" spans="2:21" x14ac:dyDescent="0.3">
      <c r="B541" s="53"/>
      <c r="C541" s="65"/>
      <c r="D541" s="61"/>
      <c r="E541" s="56"/>
      <c r="F541" s="53"/>
      <c r="G541" s="53" t="str">
        <f>IF(ISBLANK(Acciones!$H541)=TRUE," ",WEEKNUM(Acciones!$H541,21))</f>
        <v xml:space="preserve"> </v>
      </c>
      <c r="H541" s="53"/>
      <c r="I541" s="66"/>
      <c r="J541" s="53"/>
      <c r="K541" s="48" t="str">
        <f ca="1">IF(AND(ISBLANK(Acciones!$D541)=FALSE,ISBLANK(Acciones!$H541)=TRUE),"Faltan fechas",IF(Acciones!$H541="","",IF(AND(Acciones!$H541&gt;=TODAY(),ISBLANK(Acciones!$J541)=TRUE),"En tiempo",IF(AND(Acciones!$H541&lt;TODAY(),Acciones!$J541=""),"Retrasado",IF(Acciones!$J541&gt;Acciones!$H541,"Cerrado con retraso","Cerrado")))))</f>
        <v/>
      </c>
      <c r="L541" s="61"/>
      <c r="M541" s="74"/>
      <c r="T541" s="26"/>
      <c r="U541" s="26"/>
    </row>
    <row r="542" spans="2:21" x14ac:dyDescent="0.3">
      <c r="B542" s="53"/>
      <c r="C542" s="65"/>
      <c r="D542" s="61"/>
      <c r="E542" s="56"/>
      <c r="F542" s="53"/>
      <c r="G542" s="53" t="str">
        <f>IF(ISBLANK(Acciones!$H542)=TRUE," ",WEEKNUM(Acciones!$H542,21))</f>
        <v xml:space="preserve"> </v>
      </c>
      <c r="H542" s="53"/>
      <c r="I542" s="66"/>
      <c r="J542" s="53"/>
      <c r="K542" s="48" t="str">
        <f ca="1">IF(AND(ISBLANK(Acciones!$D542)=FALSE,ISBLANK(Acciones!$H542)=TRUE),"Faltan fechas",IF(Acciones!$H542="","",IF(AND(Acciones!$H542&gt;=TODAY(),ISBLANK(Acciones!$J542)=TRUE),"En tiempo",IF(AND(Acciones!$H542&lt;TODAY(),Acciones!$J542=""),"Retrasado",IF(Acciones!$J542&gt;Acciones!$H542,"Cerrado con retraso","Cerrado")))))</f>
        <v/>
      </c>
      <c r="L542" s="61"/>
      <c r="M542" s="74"/>
      <c r="T542" s="26"/>
      <c r="U542" s="26"/>
    </row>
    <row r="543" spans="2:21" x14ac:dyDescent="0.3">
      <c r="B543" s="53"/>
      <c r="C543" s="65"/>
      <c r="D543" s="61"/>
      <c r="E543" s="56"/>
      <c r="F543" s="53"/>
      <c r="G543" s="53" t="str">
        <f>IF(ISBLANK(Acciones!$H543)=TRUE," ",WEEKNUM(Acciones!$H543,21))</f>
        <v xml:space="preserve"> </v>
      </c>
      <c r="H543" s="53"/>
      <c r="I543" s="66"/>
      <c r="J543" s="53"/>
      <c r="K543" s="48" t="str">
        <f ca="1">IF(AND(ISBLANK(Acciones!$D543)=FALSE,ISBLANK(Acciones!$H543)=TRUE),"Faltan fechas",IF(Acciones!$H543="","",IF(AND(Acciones!$H543&gt;=TODAY(),ISBLANK(Acciones!$J543)=TRUE),"En tiempo",IF(AND(Acciones!$H543&lt;TODAY(),Acciones!$J543=""),"Retrasado",IF(Acciones!$J543&gt;Acciones!$H543,"Cerrado con retraso","Cerrado")))))</f>
        <v/>
      </c>
      <c r="L543" s="61"/>
      <c r="M543" s="74"/>
      <c r="T543" s="26"/>
      <c r="U543" s="26"/>
    </row>
    <row r="544" spans="2:21" x14ac:dyDescent="0.3">
      <c r="B544" s="53"/>
      <c r="C544" s="65"/>
      <c r="D544" s="61"/>
      <c r="E544" s="56"/>
      <c r="F544" s="53"/>
      <c r="G544" s="53" t="str">
        <f>IF(ISBLANK(Acciones!$H544)=TRUE," ",WEEKNUM(Acciones!$H544,21))</f>
        <v xml:space="preserve"> </v>
      </c>
      <c r="H544" s="53"/>
      <c r="I544" s="66"/>
      <c r="J544" s="53"/>
      <c r="K544" s="48" t="str">
        <f ca="1">IF(AND(ISBLANK(Acciones!$D544)=FALSE,ISBLANK(Acciones!$H544)=TRUE),"Faltan fechas",IF(Acciones!$H544="","",IF(AND(Acciones!$H544&gt;=TODAY(),ISBLANK(Acciones!$J544)=TRUE),"En tiempo",IF(AND(Acciones!$H544&lt;TODAY(),Acciones!$J544=""),"Retrasado",IF(Acciones!$J544&gt;Acciones!$H544,"Cerrado con retraso","Cerrado")))))</f>
        <v/>
      </c>
      <c r="L544" s="61"/>
      <c r="M544" s="74"/>
      <c r="T544" s="26"/>
      <c r="U544" s="26"/>
    </row>
    <row r="545" spans="2:21" x14ac:dyDescent="0.3">
      <c r="B545" s="53"/>
      <c r="C545" s="65"/>
      <c r="D545" s="61"/>
      <c r="E545" s="56"/>
      <c r="F545" s="53"/>
      <c r="G545" s="53" t="str">
        <f>IF(ISBLANK(Acciones!$H545)=TRUE," ",WEEKNUM(Acciones!$H545,21))</f>
        <v xml:space="preserve"> </v>
      </c>
      <c r="H545" s="53"/>
      <c r="I545" s="66"/>
      <c r="J545" s="53"/>
      <c r="K545" s="48" t="str">
        <f ca="1">IF(AND(ISBLANK(Acciones!$D545)=FALSE,ISBLANK(Acciones!$H545)=TRUE),"Faltan fechas",IF(Acciones!$H545="","",IF(AND(Acciones!$H545&gt;=TODAY(),ISBLANK(Acciones!$J545)=TRUE),"En tiempo",IF(AND(Acciones!$H545&lt;TODAY(),Acciones!$J545=""),"Retrasado",IF(Acciones!$J545&gt;Acciones!$H545,"Cerrado con retraso","Cerrado")))))</f>
        <v/>
      </c>
      <c r="L545" s="61"/>
      <c r="M545" s="74"/>
      <c r="T545" s="26"/>
      <c r="U545" s="26"/>
    </row>
    <row r="546" spans="2:21" x14ac:dyDescent="0.3">
      <c r="B546" s="53"/>
      <c r="C546" s="65"/>
      <c r="D546" s="61"/>
      <c r="E546" s="56"/>
      <c r="F546" s="53"/>
      <c r="G546" s="53" t="str">
        <f>IF(ISBLANK(Acciones!$H546)=TRUE," ",WEEKNUM(Acciones!$H546,21))</f>
        <v xml:space="preserve"> </v>
      </c>
      <c r="H546" s="53"/>
      <c r="I546" s="66"/>
      <c r="J546" s="53"/>
      <c r="K546" s="48" t="str">
        <f ca="1">IF(AND(ISBLANK(Acciones!$D546)=FALSE,ISBLANK(Acciones!$H546)=TRUE),"Faltan fechas",IF(Acciones!$H546="","",IF(AND(Acciones!$H546&gt;=TODAY(),ISBLANK(Acciones!$J546)=TRUE),"En tiempo",IF(AND(Acciones!$H546&lt;TODAY(),Acciones!$J546=""),"Retrasado",IF(Acciones!$J546&gt;Acciones!$H546,"Cerrado con retraso","Cerrado")))))</f>
        <v/>
      </c>
      <c r="L546" s="61"/>
      <c r="M546" s="74"/>
      <c r="T546" s="26"/>
      <c r="U546" s="26"/>
    </row>
    <row r="547" spans="2:21" x14ac:dyDescent="0.3">
      <c r="B547" s="53"/>
      <c r="C547" s="65"/>
      <c r="D547" s="61"/>
      <c r="E547" s="56"/>
      <c r="F547" s="53"/>
      <c r="G547" s="53" t="str">
        <f>IF(ISBLANK(Acciones!$H547)=TRUE," ",WEEKNUM(Acciones!$H547,21))</f>
        <v xml:space="preserve"> </v>
      </c>
      <c r="H547" s="53"/>
      <c r="I547" s="66"/>
      <c r="J547" s="53"/>
      <c r="K547" s="48" t="str">
        <f ca="1">IF(AND(ISBLANK(Acciones!$D547)=FALSE,ISBLANK(Acciones!$H547)=TRUE),"Faltan fechas",IF(Acciones!$H547="","",IF(AND(Acciones!$H547&gt;=TODAY(),ISBLANK(Acciones!$J547)=TRUE),"En tiempo",IF(AND(Acciones!$H547&lt;TODAY(),Acciones!$J547=""),"Retrasado",IF(Acciones!$J547&gt;Acciones!$H547,"Cerrado con retraso","Cerrado")))))</f>
        <v/>
      </c>
      <c r="L547" s="61"/>
      <c r="M547" s="74"/>
      <c r="T547" s="26"/>
      <c r="U547" s="26"/>
    </row>
    <row r="548" spans="2:21" x14ac:dyDescent="0.3">
      <c r="B548" s="53"/>
      <c r="C548" s="65"/>
      <c r="D548" s="61"/>
      <c r="E548" s="56"/>
      <c r="F548" s="53"/>
      <c r="G548" s="53" t="str">
        <f>IF(ISBLANK(Acciones!$H548)=TRUE," ",WEEKNUM(Acciones!$H548,21))</f>
        <v xml:space="preserve"> </v>
      </c>
      <c r="H548" s="53"/>
      <c r="I548" s="66"/>
      <c r="J548" s="53"/>
      <c r="K548" s="48" t="str">
        <f ca="1">IF(AND(ISBLANK(Acciones!$D548)=FALSE,ISBLANK(Acciones!$H548)=TRUE),"Faltan fechas",IF(Acciones!$H548="","",IF(AND(Acciones!$H548&gt;=TODAY(),ISBLANK(Acciones!$J548)=TRUE),"En tiempo",IF(AND(Acciones!$H548&lt;TODAY(),Acciones!$J548=""),"Retrasado",IF(Acciones!$J548&gt;Acciones!$H548,"Cerrado con retraso","Cerrado")))))</f>
        <v/>
      </c>
      <c r="L548" s="61"/>
      <c r="M548" s="74"/>
      <c r="T548" s="26"/>
      <c r="U548" s="26"/>
    </row>
    <row r="549" spans="2:21" x14ac:dyDescent="0.3">
      <c r="B549" s="53"/>
      <c r="C549" s="65"/>
      <c r="D549" s="61"/>
      <c r="E549" s="56"/>
      <c r="F549" s="53"/>
      <c r="G549" s="53" t="str">
        <f>IF(ISBLANK(Acciones!$H549)=TRUE," ",WEEKNUM(Acciones!$H549,21))</f>
        <v xml:space="preserve"> </v>
      </c>
      <c r="H549" s="53"/>
      <c r="I549" s="66"/>
      <c r="J549" s="53"/>
      <c r="K549" s="48" t="str">
        <f ca="1">IF(AND(ISBLANK(Acciones!$D549)=FALSE,ISBLANK(Acciones!$H549)=TRUE),"Faltan fechas",IF(Acciones!$H549="","",IF(AND(Acciones!$H549&gt;=TODAY(),ISBLANK(Acciones!$J549)=TRUE),"En tiempo",IF(AND(Acciones!$H549&lt;TODAY(),Acciones!$J549=""),"Retrasado",IF(Acciones!$J549&gt;Acciones!$H549,"Cerrado con retraso","Cerrado")))))</f>
        <v/>
      </c>
      <c r="L549" s="61"/>
      <c r="M549" s="74"/>
      <c r="T549" s="26"/>
      <c r="U549" s="26"/>
    </row>
    <row r="550" spans="2:21" x14ac:dyDescent="0.3">
      <c r="B550" s="53"/>
      <c r="C550" s="65"/>
      <c r="D550" s="61"/>
      <c r="E550" s="56"/>
      <c r="F550" s="53"/>
      <c r="G550" s="53" t="str">
        <f>IF(ISBLANK(Acciones!$H550)=TRUE," ",WEEKNUM(Acciones!$H550,21))</f>
        <v xml:space="preserve"> </v>
      </c>
      <c r="H550" s="53"/>
      <c r="I550" s="66"/>
      <c r="J550" s="53"/>
      <c r="K550" s="48" t="str">
        <f ca="1">IF(AND(ISBLANK(Acciones!$D550)=FALSE,ISBLANK(Acciones!$H550)=TRUE),"Faltan fechas",IF(Acciones!$H550="","",IF(AND(Acciones!$H550&gt;=TODAY(),ISBLANK(Acciones!$J550)=TRUE),"En tiempo",IF(AND(Acciones!$H550&lt;TODAY(),Acciones!$J550=""),"Retrasado",IF(Acciones!$J550&gt;Acciones!$H550,"Cerrado con retraso","Cerrado")))))</f>
        <v/>
      </c>
      <c r="L550" s="61"/>
      <c r="M550" s="74"/>
      <c r="T550" s="26"/>
      <c r="U550" s="26"/>
    </row>
    <row r="551" spans="2:21" x14ac:dyDescent="0.3">
      <c r="B551" s="53"/>
      <c r="C551" s="65"/>
      <c r="D551" s="61"/>
      <c r="E551" s="56"/>
      <c r="F551" s="53"/>
      <c r="G551" s="53" t="str">
        <f>IF(ISBLANK(Acciones!$H551)=TRUE," ",WEEKNUM(Acciones!$H551,21))</f>
        <v xml:space="preserve"> </v>
      </c>
      <c r="H551" s="53"/>
      <c r="I551" s="66"/>
      <c r="J551" s="53"/>
      <c r="K551" s="48" t="str">
        <f ca="1">IF(AND(ISBLANK(Acciones!$D551)=FALSE,ISBLANK(Acciones!$H551)=TRUE),"Faltan fechas",IF(Acciones!$H551="","",IF(AND(Acciones!$H551&gt;=TODAY(),ISBLANK(Acciones!$J551)=TRUE),"En tiempo",IF(AND(Acciones!$H551&lt;TODAY(),Acciones!$J551=""),"Retrasado",IF(Acciones!$J551&gt;Acciones!$H551,"Cerrado con retraso","Cerrado")))))</f>
        <v/>
      </c>
      <c r="L551" s="61"/>
      <c r="M551" s="74"/>
      <c r="T551" s="26"/>
      <c r="U551" s="26"/>
    </row>
    <row r="552" spans="2:21" x14ac:dyDescent="0.3">
      <c r="B552" s="53"/>
      <c r="C552" s="65"/>
      <c r="D552" s="61"/>
      <c r="E552" s="56"/>
      <c r="F552" s="53"/>
      <c r="G552" s="53" t="str">
        <f>IF(ISBLANK(Acciones!$H552)=TRUE," ",WEEKNUM(Acciones!$H552,21))</f>
        <v xml:space="preserve"> </v>
      </c>
      <c r="H552" s="53"/>
      <c r="I552" s="66"/>
      <c r="J552" s="53"/>
      <c r="K552" s="48" t="str">
        <f ca="1">IF(AND(ISBLANK(Acciones!$D552)=FALSE,ISBLANK(Acciones!$H552)=TRUE),"Faltan fechas",IF(Acciones!$H552="","",IF(AND(Acciones!$H552&gt;=TODAY(),ISBLANK(Acciones!$J552)=TRUE),"En tiempo",IF(AND(Acciones!$H552&lt;TODAY(),Acciones!$J552=""),"Retrasado",IF(Acciones!$J552&gt;Acciones!$H552,"Cerrado con retraso","Cerrado")))))</f>
        <v/>
      </c>
      <c r="L552" s="61"/>
      <c r="M552" s="74"/>
      <c r="T552" s="26"/>
      <c r="U552" s="26"/>
    </row>
    <row r="553" spans="2:21" x14ac:dyDescent="0.3">
      <c r="B553" s="53"/>
      <c r="C553" s="65"/>
      <c r="D553" s="61"/>
      <c r="E553" s="56"/>
      <c r="F553" s="53"/>
      <c r="G553" s="53" t="str">
        <f>IF(ISBLANK(Acciones!$H553)=TRUE," ",WEEKNUM(Acciones!$H553,21))</f>
        <v xml:space="preserve"> </v>
      </c>
      <c r="H553" s="53"/>
      <c r="I553" s="66"/>
      <c r="J553" s="53"/>
      <c r="K553" s="48" t="str">
        <f ca="1">IF(AND(ISBLANK(Acciones!$D553)=FALSE,ISBLANK(Acciones!$H553)=TRUE),"Faltan fechas",IF(Acciones!$H553="","",IF(AND(Acciones!$H553&gt;=TODAY(),ISBLANK(Acciones!$J553)=TRUE),"En tiempo",IF(AND(Acciones!$H553&lt;TODAY(),Acciones!$J553=""),"Retrasado",IF(Acciones!$J553&gt;Acciones!$H553,"Cerrado con retraso","Cerrado")))))</f>
        <v/>
      </c>
      <c r="L553" s="61"/>
      <c r="M553" s="74"/>
      <c r="T553" s="26"/>
      <c r="U553" s="26"/>
    </row>
    <row r="554" spans="2:21" x14ac:dyDescent="0.3">
      <c r="B554" s="53"/>
      <c r="C554" s="65"/>
      <c r="D554" s="61"/>
      <c r="E554" s="56"/>
      <c r="F554" s="53"/>
      <c r="G554" s="53" t="str">
        <f>IF(ISBLANK(Acciones!$H554)=TRUE," ",WEEKNUM(Acciones!$H554,21))</f>
        <v xml:space="preserve"> </v>
      </c>
      <c r="H554" s="53"/>
      <c r="I554" s="66"/>
      <c r="J554" s="53"/>
      <c r="K554" s="48" t="str">
        <f ca="1">IF(AND(ISBLANK(Acciones!$D554)=FALSE,ISBLANK(Acciones!$H554)=TRUE),"Faltan fechas",IF(Acciones!$H554="","",IF(AND(Acciones!$H554&gt;=TODAY(),ISBLANK(Acciones!$J554)=TRUE),"En tiempo",IF(AND(Acciones!$H554&lt;TODAY(),Acciones!$J554=""),"Retrasado",IF(Acciones!$J554&gt;Acciones!$H554,"Cerrado con retraso","Cerrado")))))</f>
        <v/>
      </c>
      <c r="L554" s="61"/>
      <c r="M554" s="74"/>
      <c r="T554" s="26"/>
      <c r="U554" s="26"/>
    </row>
    <row r="555" spans="2:21" x14ac:dyDescent="0.3">
      <c r="B555" s="53"/>
      <c r="C555" s="65"/>
      <c r="D555" s="61"/>
      <c r="E555" s="56"/>
      <c r="F555" s="53"/>
      <c r="G555" s="53" t="str">
        <f>IF(ISBLANK(Acciones!$H555)=TRUE," ",WEEKNUM(Acciones!$H555,21))</f>
        <v xml:space="preserve"> </v>
      </c>
      <c r="H555" s="53"/>
      <c r="I555" s="66"/>
      <c r="J555" s="53"/>
      <c r="K555" s="48" t="str">
        <f ca="1">IF(AND(ISBLANK(Acciones!$D555)=FALSE,ISBLANK(Acciones!$H555)=TRUE),"Faltan fechas",IF(Acciones!$H555="","",IF(AND(Acciones!$H555&gt;=TODAY(),ISBLANK(Acciones!$J555)=TRUE),"En tiempo",IF(AND(Acciones!$H555&lt;TODAY(),Acciones!$J555=""),"Retrasado",IF(Acciones!$J555&gt;Acciones!$H555,"Cerrado con retraso","Cerrado")))))</f>
        <v/>
      </c>
      <c r="L555" s="61"/>
      <c r="M555" s="74"/>
      <c r="T555" s="26"/>
      <c r="U555" s="26"/>
    </row>
    <row r="556" spans="2:21" x14ac:dyDescent="0.3">
      <c r="B556" s="53"/>
      <c r="C556" s="65"/>
      <c r="D556" s="61"/>
      <c r="E556" s="56"/>
      <c r="F556" s="53"/>
      <c r="G556" s="53" t="str">
        <f>IF(ISBLANK(Acciones!$H556)=TRUE," ",WEEKNUM(Acciones!$H556,21))</f>
        <v xml:space="preserve"> </v>
      </c>
      <c r="H556" s="53"/>
      <c r="I556" s="66"/>
      <c r="J556" s="53"/>
      <c r="K556" s="48" t="str">
        <f ca="1">IF(AND(ISBLANK(Acciones!$D556)=FALSE,ISBLANK(Acciones!$H556)=TRUE),"Faltan fechas",IF(Acciones!$H556="","",IF(AND(Acciones!$H556&gt;=TODAY(),ISBLANK(Acciones!$J556)=TRUE),"En tiempo",IF(AND(Acciones!$H556&lt;TODAY(),Acciones!$J556=""),"Retrasado",IF(Acciones!$J556&gt;Acciones!$H556,"Cerrado con retraso","Cerrado")))))</f>
        <v/>
      </c>
      <c r="L556" s="61"/>
      <c r="M556" s="74"/>
      <c r="T556" s="26"/>
      <c r="U556" s="26"/>
    </row>
    <row r="557" spans="2:21" x14ac:dyDescent="0.3">
      <c r="B557" s="53"/>
      <c r="C557" s="65"/>
      <c r="D557" s="61"/>
      <c r="E557" s="56"/>
      <c r="F557" s="53"/>
      <c r="G557" s="53" t="str">
        <f>IF(ISBLANK(Acciones!$H557)=TRUE," ",WEEKNUM(Acciones!$H557,21))</f>
        <v xml:space="preserve"> </v>
      </c>
      <c r="H557" s="53"/>
      <c r="I557" s="66"/>
      <c r="J557" s="53"/>
      <c r="K557" s="48" t="str">
        <f ca="1">IF(AND(ISBLANK(Acciones!$D557)=FALSE,ISBLANK(Acciones!$H557)=TRUE),"Faltan fechas",IF(Acciones!$H557="","",IF(AND(Acciones!$H557&gt;=TODAY(),ISBLANK(Acciones!$J557)=TRUE),"En tiempo",IF(AND(Acciones!$H557&lt;TODAY(),Acciones!$J557=""),"Retrasado",IF(Acciones!$J557&gt;Acciones!$H557,"Cerrado con retraso","Cerrado")))))</f>
        <v/>
      </c>
      <c r="L557" s="61"/>
      <c r="M557" s="74"/>
      <c r="T557" s="26"/>
      <c r="U557" s="26"/>
    </row>
    <row r="558" spans="2:21" x14ac:dyDescent="0.3">
      <c r="B558" s="53"/>
      <c r="C558" s="65"/>
      <c r="D558" s="61"/>
      <c r="E558" s="56"/>
      <c r="F558" s="53"/>
      <c r="G558" s="53" t="str">
        <f>IF(ISBLANK(Acciones!$H558)=TRUE," ",WEEKNUM(Acciones!$H558,21))</f>
        <v xml:space="preserve"> </v>
      </c>
      <c r="H558" s="53"/>
      <c r="I558" s="66"/>
      <c r="J558" s="53"/>
      <c r="K558" s="48" t="str">
        <f ca="1">IF(AND(ISBLANK(Acciones!$D558)=FALSE,ISBLANK(Acciones!$H558)=TRUE),"Faltan fechas",IF(Acciones!$H558="","",IF(AND(Acciones!$H558&gt;=TODAY(),ISBLANK(Acciones!$J558)=TRUE),"En tiempo",IF(AND(Acciones!$H558&lt;TODAY(),Acciones!$J558=""),"Retrasado",IF(Acciones!$J558&gt;Acciones!$H558,"Cerrado con retraso","Cerrado")))))</f>
        <v/>
      </c>
      <c r="L558" s="61"/>
      <c r="M558" s="74"/>
      <c r="T558" s="26"/>
      <c r="U558" s="26"/>
    </row>
    <row r="559" spans="2:21" x14ac:dyDescent="0.3">
      <c r="B559" s="53"/>
      <c r="C559" s="65"/>
      <c r="D559" s="61"/>
      <c r="E559" s="56"/>
      <c r="F559" s="53"/>
      <c r="G559" s="53" t="str">
        <f>IF(ISBLANK(Acciones!$H559)=TRUE," ",WEEKNUM(Acciones!$H559,21))</f>
        <v xml:space="preserve"> </v>
      </c>
      <c r="H559" s="53"/>
      <c r="I559" s="66"/>
      <c r="J559" s="53"/>
      <c r="K559" s="48" t="str">
        <f ca="1">IF(AND(ISBLANK(Acciones!$D559)=FALSE,ISBLANK(Acciones!$H559)=TRUE),"Faltan fechas",IF(Acciones!$H559="","",IF(AND(Acciones!$H559&gt;=TODAY(),ISBLANK(Acciones!$J559)=TRUE),"En tiempo",IF(AND(Acciones!$H559&lt;TODAY(),Acciones!$J559=""),"Retrasado",IF(Acciones!$J559&gt;Acciones!$H559,"Cerrado con retraso","Cerrado")))))</f>
        <v/>
      </c>
      <c r="L559" s="61"/>
      <c r="M559" s="74"/>
      <c r="T559" s="26"/>
      <c r="U559" s="26"/>
    </row>
    <row r="560" spans="2:21" x14ac:dyDescent="0.3">
      <c r="B560" s="53"/>
      <c r="C560" s="65"/>
      <c r="D560" s="61"/>
      <c r="E560" s="56"/>
      <c r="F560" s="53"/>
      <c r="G560" s="53" t="str">
        <f>IF(ISBLANK(Acciones!$H560)=TRUE," ",WEEKNUM(Acciones!$H560,21))</f>
        <v xml:space="preserve"> </v>
      </c>
      <c r="H560" s="53"/>
      <c r="I560" s="66"/>
      <c r="J560" s="53"/>
      <c r="K560" s="48" t="str">
        <f ca="1">IF(AND(ISBLANK(Acciones!$D560)=FALSE,ISBLANK(Acciones!$H560)=TRUE),"Faltan fechas",IF(Acciones!$H560="","",IF(AND(Acciones!$H560&gt;=TODAY(),ISBLANK(Acciones!$J560)=TRUE),"En tiempo",IF(AND(Acciones!$H560&lt;TODAY(),Acciones!$J560=""),"Retrasado",IF(Acciones!$J560&gt;Acciones!$H560,"Cerrado con retraso","Cerrado")))))</f>
        <v/>
      </c>
      <c r="L560" s="61"/>
      <c r="M560" s="74"/>
      <c r="T560" s="26"/>
      <c r="U560" s="26"/>
    </row>
    <row r="561" spans="2:21" x14ac:dyDescent="0.3">
      <c r="B561" s="53"/>
      <c r="C561" s="65"/>
      <c r="D561" s="61"/>
      <c r="E561" s="56"/>
      <c r="F561" s="53"/>
      <c r="G561" s="53" t="str">
        <f>IF(ISBLANK(Acciones!$H561)=TRUE," ",WEEKNUM(Acciones!$H561,21))</f>
        <v xml:space="preserve"> </v>
      </c>
      <c r="H561" s="53"/>
      <c r="I561" s="66"/>
      <c r="J561" s="53"/>
      <c r="K561" s="48" t="str">
        <f ca="1">IF(AND(ISBLANK(Acciones!$D561)=FALSE,ISBLANK(Acciones!$H561)=TRUE),"Faltan fechas",IF(Acciones!$H561="","",IF(AND(Acciones!$H561&gt;=TODAY(),ISBLANK(Acciones!$J561)=TRUE),"En tiempo",IF(AND(Acciones!$H561&lt;TODAY(),Acciones!$J561=""),"Retrasado",IF(Acciones!$J561&gt;Acciones!$H561,"Cerrado con retraso","Cerrado")))))</f>
        <v/>
      </c>
      <c r="L561" s="61"/>
      <c r="M561" s="74"/>
      <c r="T561" s="26"/>
      <c r="U561" s="26"/>
    </row>
    <row r="562" spans="2:21" x14ac:dyDescent="0.3">
      <c r="B562" s="53"/>
      <c r="C562" s="65"/>
      <c r="D562" s="61"/>
      <c r="E562" s="56"/>
      <c r="F562" s="53"/>
      <c r="G562" s="53" t="str">
        <f>IF(ISBLANK(Acciones!$H562)=TRUE," ",WEEKNUM(Acciones!$H562,21))</f>
        <v xml:space="preserve"> </v>
      </c>
      <c r="H562" s="53"/>
      <c r="I562" s="66"/>
      <c r="J562" s="53"/>
      <c r="K562" s="48" t="str">
        <f ca="1">IF(AND(ISBLANK(Acciones!$D562)=FALSE,ISBLANK(Acciones!$H562)=TRUE),"Faltan fechas",IF(Acciones!$H562="","",IF(AND(Acciones!$H562&gt;=TODAY(),ISBLANK(Acciones!$J562)=TRUE),"En tiempo",IF(AND(Acciones!$H562&lt;TODAY(),Acciones!$J562=""),"Retrasado",IF(Acciones!$J562&gt;Acciones!$H562,"Cerrado con retraso","Cerrado")))))</f>
        <v/>
      </c>
      <c r="L562" s="61"/>
      <c r="M562" s="74"/>
      <c r="T562" s="26"/>
      <c r="U562" s="26"/>
    </row>
    <row r="563" spans="2:21" x14ac:dyDescent="0.3">
      <c r="B563" s="53"/>
      <c r="C563" s="65"/>
      <c r="D563" s="61"/>
      <c r="E563" s="56"/>
      <c r="F563" s="53"/>
      <c r="G563" s="53" t="str">
        <f>IF(ISBLANK(Acciones!$H563)=TRUE," ",WEEKNUM(Acciones!$H563,21))</f>
        <v xml:space="preserve"> </v>
      </c>
      <c r="H563" s="53"/>
      <c r="I563" s="66"/>
      <c r="J563" s="53"/>
      <c r="K563" s="48" t="str">
        <f ca="1">IF(AND(ISBLANK(Acciones!$D563)=FALSE,ISBLANK(Acciones!$H563)=TRUE),"Faltan fechas",IF(Acciones!$H563="","",IF(AND(Acciones!$H563&gt;=TODAY(),ISBLANK(Acciones!$J563)=TRUE),"En tiempo",IF(AND(Acciones!$H563&lt;TODAY(),Acciones!$J563=""),"Retrasado",IF(Acciones!$J563&gt;Acciones!$H563,"Cerrado con retraso","Cerrado")))))</f>
        <v/>
      </c>
      <c r="L563" s="61"/>
      <c r="M563" s="74"/>
      <c r="T563" s="26"/>
      <c r="U563" s="26"/>
    </row>
    <row r="564" spans="2:21" x14ac:dyDescent="0.3">
      <c r="B564" s="53"/>
      <c r="C564" s="65"/>
      <c r="D564" s="61"/>
      <c r="E564" s="56"/>
      <c r="F564" s="53"/>
      <c r="G564" s="53" t="str">
        <f>IF(ISBLANK(Acciones!$H564)=TRUE," ",WEEKNUM(Acciones!$H564,21))</f>
        <v xml:space="preserve"> </v>
      </c>
      <c r="H564" s="53"/>
      <c r="I564" s="66"/>
      <c r="J564" s="53"/>
      <c r="K564" s="48" t="str">
        <f ca="1">IF(AND(ISBLANK(Acciones!$D564)=FALSE,ISBLANK(Acciones!$H564)=TRUE),"Faltan fechas",IF(Acciones!$H564="","",IF(AND(Acciones!$H564&gt;=TODAY(),ISBLANK(Acciones!$J564)=TRUE),"En tiempo",IF(AND(Acciones!$H564&lt;TODAY(),Acciones!$J564=""),"Retrasado",IF(Acciones!$J564&gt;Acciones!$H564,"Cerrado con retraso","Cerrado")))))</f>
        <v/>
      </c>
      <c r="L564" s="61"/>
      <c r="M564" s="74"/>
      <c r="T564" s="26"/>
      <c r="U564" s="26"/>
    </row>
    <row r="565" spans="2:21" x14ac:dyDescent="0.3">
      <c r="B565" s="53"/>
      <c r="C565" s="65"/>
      <c r="D565" s="61"/>
      <c r="E565" s="56"/>
      <c r="F565" s="53"/>
      <c r="G565" s="53" t="str">
        <f>IF(ISBLANK(Acciones!$H565)=TRUE," ",WEEKNUM(Acciones!$H565,21))</f>
        <v xml:space="preserve"> </v>
      </c>
      <c r="H565" s="53"/>
      <c r="I565" s="66"/>
      <c r="J565" s="53"/>
      <c r="K565" s="48" t="str">
        <f ca="1">IF(AND(ISBLANK(Acciones!$D565)=FALSE,ISBLANK(Acciones!$H565)=TRUE),"Faltan fechas",IF(Acciones!$H565="","",IF(AND(Acciones!$H565&gt;=TODAY(),ISBLANK(Acciones!$J565)=TRUE),"En tiempo",IF(AND(Acciones!$H565&lt;TODAY(),Acciones!$J565=""),"Retrasado",IF(Acciones!$J565&gt;Acciones!$H565,"Cerrado con retraso","Cerrado")))))</f>
        <v/>
      </c>
      <c r="L565" s="61"/>
      <c r="M565" s="74"/>
      <c r="T565" s="26"/>
      <c r="U565" s="26"/>
    </row>
    <row r="566" spans="2:21" x14ac:dyDescent="0.3">
      <c r="B566" s="53"/>
      <c r="C566" s="65"/>
      <c r="D566" s="61"/>
      <c r="E566" s="56"/>
      <c r="F566" s="53"/>
      <c r="G566" s="53" t="str">
        <f>IF(ISBLANK(Acciones!$H566)=TRUE," ",WEEKNUM(Acciones!$H566,21))</f>
        <v xml:space="preserve"> </v>
      </c>
      <c r="H566" s="53"/>
      <c r="I566" s="66"/>
      <c r="J566" s="53"/>
      <c r="K566" s="48" t="str">
        <f ca="1">IF(AND(ISBLANK(Acciones!$D566)=FALSE,ISBLANK(Acciones!$H566)=TRUE),"Faltan fechas",IF(Acciones!$H566="","",IF(AND(Acciones!$H566&gt;=TODAY(),ISBLANK(Acciones!$J566)=TRUE),"En tiempo",IF(AND(Acciones!$H566&lt;TODAY(),Acciones!$J566=""),"Retrasado",IF(Acciones!$J566&gt;Acciones!$H566,"Cerrado con retraso","Cerrado")))))</f>
        <v/>
      </c>
      <c r="L566" s="61"/>
      <c r="M566" s="74"/>
      <c r="T566" s="26"/>
      <c r="U566" s="26"/>
    </row>
    <row r="567" spans="2:21" x14ac:dyDescent="0.3">
      <c r="B567" s="53"/>
      <c r="C567" s="65"/>
      <c r="D567" s="61"/>
      <c r="E567" s="56"/>
      <c r="F567" s="53"/>
      <c r="G567" s="53" t="str">
        <f>IF(ISBLANK(Acciones!$H567)=TRUE," ",WEEKNUM(Acciones!$H567,21))</f>
        <v xml:space="preserve"> </v>
      </c>
      <c r="H567" s="53"/>
      <c r="I567" s="66"/>
      <c r="J567" s="53"/>
      <c r="K567" s="48" t="str">
        <f ca="1">IF(AND(ISBLANK(Acciones!$D567)=FALSE,ISBLANK(Acciones!$H567)=TRUE),"Faltan fechas",IF(Acciones!$H567="","",IF(AND(Acciones!$H567&gt;=TODAY(),ISBLANK(Acciones!$J567)=TRUE),"En tiempo",IF(AND(Acciones!$H567&lt;TODAY(),Acciones!$J567=""),"Retrasado",IF(Acciones!$J567&gt;Acciones!$H567,"Cerrado con retraso","Cerrado")))))</f>
        <v/>
      </c>
      <c r="L567" s="61"/>
      <c r="M567" s="74"/>
      <c r="T567" s="26"/>
      <c r="U567" s="26"/>
    </row>
    <row r="568" spans="2:21" x14ac:dyDescent="0.3">
      <c r="B568" s="53"/>
      <c r="C568" s="65"/>
      <c r="D568" s="61"/>
      <c r="E568" s="56"/>
      <c r="F568" s="53"/>
      <c r="G568" s="53" t="str">
        <f>IF(ISBLANK(Acciones!$H568)=TRUE," ",WEEKNUM(Acciones!$H568,21))</f>
        <v xml:space="preserve"> </v>
      </c>
      <c r="H568" s="53"/>
      <c r="I568" s="66"/>
      <c r="J568" s="53"/>
      <c r="K568" s="48" t="str">
        <f ca="1">IF(AND(ISBLANK(Acciones!$D568)=FALSE,ISBLANK(Acciones!$H568)=TRUE),"Faltan fechas",IF(Acciones!$H568="","",IF(AND(Acciones!$H568&gt;=TODAY(),ISBLANK(Acciones!$J568)=TRUE),"En tiempo",IF(AND(Acciones!$H568&lt;TODAY(),Acciones!$J568=""),"Retrasado",IF(Acciones!$J568&gt;Acciones!$H568,"Cerrado con retraso","Cerrado")))))</f>
        <v/>
      </c>
      <c r="L568" s="61"/>
      <c r="M568" s="74"/>
      <c r="T568" s="26"/>
      <c r="U568" s="26"/>
    </row>
    <row r="569" spans="2:21" x14ac:dyDescent="0.3">
      <c r="B569" s="53"/>
      <c r="C569" s="65"/>
      <c r="D569" s="61"/>
      <c r="E569" s="56"/>
      <c r="F569" s="53"/>
      <c r="G569" s="53" t="str">
        <f>IF(ISBLANK(Acciones!$H569)=TRUE," ",WEEKNUM(Acciones!$H569,21))</f>
        <v xml:space="preserve"> </v>
      </c>
      <c r="H569" s="53"/>
      <c r="I569" s="66"/>
      <c r="J569" s="53"/>
      <c r="K569" s="48" t="str">
        <f ca="1">IF(AND(ISBLANK(Acciones!$D569)=FALSE,ISBLANK(Acciones!$H569)=TRUE),"Faltan fechas",IF(Acciones!$H569="","",IF(AND(Acciones!$H569&gt;=TODAY(),ISBLANK(Acciones!$J569)=TRUE),"En tiempo",IF(AND(Acciones!$H569&lt;TODAY(),Acciones!$J569=""),"Retrasado",IF(Acciones!$J569&gt;Acciones!$H569,"Cerrado con retraso","Cerrado")))))</f>
        <v/>
      </c>
      <c r="L569" s="61"/>
      <c r="M569" s="74"/>
      <c r="T569" s="26"/>
      <c r="U569" s="26"/>
    </row>
    <row r="570" spans="2:21" x14ac:dyDescent="0.3">
      <c r="B570" s="53"/>
      <c r="C570" s="65"/>
      <c r="D570" s="61"/>
      <c r="E570" s="56"/>
      <c r="F570" s="53"/>
      <c r="G570" s="53" t="str">
        <f>IF(ISBLANK(Acciones!$H570)=TRUE," ",WEEKNUM(Acciones!$H570,21))</f>
        <v xml:space="preserve"> </v>
      </c>
      <c r="H570" s="53"/>
      <c r="I570" s="66"/>
      <c r="J570" s="53"/>
      <c r="K570" s="48" t="str">
        <f ca="1">IF(AND(ISBLANK(Acciones!$D570)=FALSE,ISBLANK(Acciones!$H570)=TRUE),"Faltan fechas",IF(Acciones!$H570="","",IF(AND(Acciones!$H570&gt;=TODAY(),ISBLANK(Acciones!$J570)=TRUE),"En tiempo",IF(AND(Acciones!$H570&lt;TODAY(),Acciones!$J570=""),"Retrasado",IF(Acciones!$J570&gt;Acciones!$H570,"Cerrado con retraso","Cerrado")))))</f>
        <v/>
      </c>
      <c r="L570" s="61"/>
      <c r="M570" s="74"/>
      <c r="T570" s="26"/>
      <c r="U570" s="26"/>
    </row>
    <row r="571" spans="2:21" x14ac:dyDescent="0.3">
      <c r="B571" s="53"/>
      <c r="C571" s="65"/>
      <c r="D571" s="61"/>
      <c r="E571" s="56"/>
      <c r="F571" s="53"/>
      <c r="G571" s="53" t="str">
        <f>IF(ISBLANK(Acciones!$H571)=TRUE," ",WEEKNUM(Acciones!$H571,21))</f>
        <v xml:space="preserve"> </v>
      </c>
      <c r="H571" s="53"/>
      <c r="I571" s="66"/>
      <c r="J571" s="53"/>
      <c r="K571" s="48" t="str">
        <f ca="1">IF(AND(ISBLANK(Acciones!$D571)=FALSE,ISBLANK(Acciones!$H571)=TRUE),"Faltan fechas",IF(Acciones!$H571="","",IF(AND(Acciones!$H571&gt;=TODAY(),ISBLANK(Acciones!$J571)=TRUE),"En tiempo",IF(AND(Acciones!$H571&lt;TODAY(),Acciones!$J571=""),"Retrasado",IF(Acciones!$J571&gt;Acciones!$H571,"Cerrado con retraso","Cerrado")))))</f>
        <v/>
      </c>
      <c r="L571" s="61"/>
      <c r="M571" s="74"/>
      <c r="T571" s="26"/>
      <c r="U571" s="26"/>
    </row>
    <row r="572" spans="2:21" x14ac:dyDescent="0.3">
      <c r="B572" s="53"/>
      <c r="C572" s="65"/>
      <c r="D572" s="61"/>
      <c r="E572" s="56"/>
      <c r="F572" s="53"/>
      <c r="G572" s="53" t="str">
        <f>IF(ISBLANK(Acciones!$H572)=TRUE," ",WEEKNUM(Acciones!$H572,21))</f>
        <v xml:space="preserve"> </v>
      </c>
      <c r="H572" s="53"/>
      <c r="I572" s="66"/>
      <c r="J572" s="53"/>
      <c r="K572" s="48" t="str">
        <f ca="1">IF(AND(ISBLANK(Acciones!$D572)=FALSE,ISBLANK(Acciones!$H572)=TRUE),"Faltan fechas",IF(Acciones!$H572="","",IF(AND(Acciones!$H572&gt;=TODAY(),ISBLANK(Acciones!$J572)=TRUE),"En tiempo",IF(AND(Acciones!$H572&lt;TODAY(),Acciones!$J572=""),"Retrasado",IF(Acciones!$J572&gt;Acciones!$H572,"Cerrado con retraso","Cerrado")))))</f>
        <v/>
      </c>
      <c r="L572" s="61"/>
      <c r="M572" s="74"/>
      <c r="T572" s="26"/>
      <c r="U572" s="26"/>
    </row>
    <row r="573" spans="2:21" x14ac:dyDescent="0.3">
      <c r="B573" s="53"/>
      <c r="C573" s="65"/>
      <c r="D573" s="61"/>
      <c r="E573" s="56"/>
      <c r="F573" s="53"/>
      <c r="G573" s="53" t="str">
        <f>IF(ISBLANK(Acciones!$H573)=TRUE," ",WEEKNUM(Acciones!$H573,21))</f>
        <v xml:space="preserve"> </v>
      </c>
      <c r="H573" s="53"/>
      <c r="I573" s="66"/>
      <c r="J573" s="53"/>
      <c r="K573" s="48" t="str">
        <f ca="1">IF(AND(ISBLANK(Acciones!$D573)=FALSE,ISBLANK(Acciones!$H573)=TRUE),"Faltan fechas",IF(Acciones!$H573="","",IF(AND(Acciones!$H573&gt;=TODAY(),ISBLANK(Acciones!$J573)=TRUE),"En tiempo",IF(AND(Acciones!$H573&lt;TODAY(),Acciones!$J573=""),"Retrasado",IF(Acciones!$J573&gt;Acciones!$H573,"Cerrado con retraso","Cerrado")))))</f>
        <v/>
      </c>
      <c r="L573" s="61"/>
      <c r="M573" s="74"/>
      <c r="T573" s="26"/>
      <c r="U573" s="26"/>
    </row>
    <row r="574" spans="2:21" x14ac:dyDescent="0.3">
      <c r="B574" s="53"/>
      <c r="C574" s="65"/>
      <c r="D574" s="61"/>
      <c r="E574" s="56"/>
      <c r="F574" s="53"/>
      <c r="G574" s="53" t="str">
        <f>IF(ISBLANK(Acciones!$H574)=TRUE," ",WEEKNUM(Acciones!$H574,21))</f>
        <v xml:space="preserve"> </v>
      </c>
      <c r="H574" s="53"/>
      <c r="I574" s="66"/>
      <c r="J574" s="53"/>
      <c r="K574" s="48" t="str">
        <f ca="1">IF(AND(ISBLANK(Acciones!$D574)=FALSE,ISBLANK(Acciones!$H574)=TRUE),"Faltan fechas",IF(Acciones!$H574="","",IF(AND(Acciones!$H574&gt;=TODAY(),ISBLANK(Acciones!$J574)=TRUE),"En tiempo",IF(AND(Acciones!$H574&lt;TODAY(),Acciones!$J574=""),"Retrasado",IF(Acciones!$J574&gt;Acciones!$H574,"Cerrado con retraso","Cerrado")))))</f>
        <v/>
      </c>
      <c r="L574" s="61"/>
      <c r="M574" s="74"/>
      <c r="T574" s="26"/>
      <c r="U574" s="26"/>
    </row>
    <row r="575" spans="2:21" x14ac:dyDescent="0.3">
      <c r="B575" s="53"/>
      <c r="C575" s="65"/>
      <c r="D575" s="61"/>
      <c r="E575" s="56"/>
      <c r="F575" s="53"/>
      <c r="G575" s="53" t="str">
        <f>IF(ISBLANK(Acciones!$H575)=TRUE," ",WEEKNUM(Acciones!$H575,21))</f>
        <v xml:space="preserve"> </v>
      </c>
      <c r="H575" s="53"/>
      <c r="I575" s="66"/>
      <c r="J575" s="53"/>
      <c r="K575" s="48" t="str">
        <f ca="1">IF(AND(ISBLANK(Acciones!$D575)=FALSE,ISBLANK(Acciones!$H575)=TRUE),"Faltan fechas",IF(Acciones!$H575="","",IF(AND(Acciones!$H575&gt;=TODAY(),ISBLANK(Acciones!$J575)=TRUE),"En tiempo",IF(AND(Acciones!$H575&lt;TODAY(),Acciones!$J575=""),"Retrasado",IF(Acciones!$J575&gt;Acciones!$H575,"Cerrado con retraso","Cerrado")))))</f>
        <v/>
      </c>
      <c r="L575" s="61"/>
      <c r="M575" s="74"/>
      <c r="T575" s="26"/>
      <c r="U575" s="26"/>
    </row>
    <row r="576" spans="2:21" x14ac:dyDescent="0.3">
      <c r="B576" s="53"/>
      <c r="C576" s="65"/>
      <c r="D576" s="61"/>
      <c r="E576" s="56"/>
      <c r="F576" s="53"/>
      <c r="G576" s="53" t="str">
        <f>IF(ISBLANK(Acciones!$H576)=TRUE," ",WEEKNUM(Acciones!$H576,21))</f>
        <v xml:space="preserve"> </v>
      </c>
      <c r="H576" s="53"/>
      <c r="I576" s="66"/>
      <c r="J576" s="53"/>
      <c r="K576" s="48" t="str">
        <f ca="1">IF(AND(ISBLANK(Acciones!$D576)=FALSE,ISBLANK(Acciones!$H576)=TRUE),"Faltan fechas",IF(Acciones!$H576="","",IF(AND(Acciones!$H576&gt;=TODAY(),ISBLANK(Acciones!$J576)=TRUE),"En tiempo",IF(AND(Acciones!$H576&lt;TODAY(),Acciones!$J576=""),"Retrasado",IF(Acciones!$J576&gt;Acciones!$H576,"Cerrado con retraso","Cerrado")))))</f>
        <v/>
      </c>
      <c r="L576" s="61"/>
      <c r="M576" s="74"/>
      <c r="T576" s="26"/>
      <c r="U576" s="26"/>
    </row>
    <row r="577" spans="2:21" x14ac:dyDescent="0.3">
      <c r="B577" s="53"/>
      <c r="C577" s="65"/>
      <c r="D577" s="61"/>
      <c r="E577" s="56"/>
      <c r="F577" s="53"/>
      <c r="G577" s="53" t="str">
        <f>IF(ISBLANK(Acciones!$H577)=TRUE," ",WEEKNUM(Acciones!$H577,21))</f>
        <v xml:space="preserve"> </v>
      </c>
      <c r="H577" s="53"/>
      <c r="I577" s="66"/>
      <c r="J577" s="53"/>
      <c r="K577" s="48" t="str">
        <f ca="1">IF(AND(ISBLANK(Acciones!$D577)=FALSE,ISBLANK(Acciones!$H577)=TRUE),"Faltan fechas",IF(Acciones!$H577="","",IF(AND(Acciones!$H577&gt;=TODAY(),ISBLANK(Acciones!$J577)=TRUE),"En tiempo",IF(AND(Acciones!$H577&lt;TODAY(),Acciones!$J577=""),"Retrasado",IF(Acciones!$J577&gt;Acciones!$H577,"Cerrado con retraso","Cerrado")))))</f>
        <v/>
      </c>
      <c r="L577" s="61"/>
      <c r="M577" s="74"/>
      <c r="T577" s="26"/>
      <c r="U577" s="26"/>
    </row>
    <row r="578" spans="2:21" x14ac:dyDescent="0.3">
      <c r="B578" s="53"/>
      <c r="C578" s="65"/>
      <c r="D578" s="61"/>
      <c r="E578" s="56"/>
      <c r="F578" s="53"/>
      <c r="G578" s="53" t="str">
        <f>IF(ISBLANK(Acciones!$H578)=TRUE," ",WEEKNUM(Acciones!$H578,21))</f>
        <v xml:space="preserve"> </v>
      </c>
      <c r="H578" s="53"/>
      <c r="I578" s="66"/>
      <c r="J578" s="53"/>
      <c r="K578" s="48" t="str">
        <f ca="1">IF(AND(ISBLANK(Acciones!$D578)=FALSE,ISBLANK(Acciones!$H578)=TRUE),"Faltan fechas",IF(Acciones!$H578="","",IF(AND(Acciones!$H578&gt;=TODAY(),ISBLANK(Acciones!$J578)=TRUE),"En tiempo",IF(AND(Acciones!$H578&lt;TODAY(),Acciones!$J578=""),"Retrasado",IF(Acciones!$J578&gt;Acciones!$H578,"Cerrado con retraso","Cerrado")))))</f>
        <v/>
      </c>
      <c r="L578" s="61"/>
      <c r="M578" s="74"/>
      <c r="T578" s="26"/>
      <c r="U578" s="26"/>
    </row>
    <row r="579" spans="2:21" x14ac:dyDescent="0.3">
      <c r="B579" s="53"/>
      <c r="C579" s="65"/>
      <c r="D579" s="61"/>
      <c r="E579" s="56"/>
      <c r="F579" s="53"/>
      <c r="G579" s="53" t="str">
        <f>IF(ISBLANK(Acciones!$H579)=TRUE," ",WEEKNUM(Acciones!$H579,21))</f>
        <v xml:space="preserve"> </v>
      </c>
      <c r="H579" s="53"/>
      <c r="I579" s="66"/>
      <c r="J579" s="53"/>
      <c r="K579" s="48" t="str">
        <f ca="1">IF(AND(ISBLANK(Acciones!$D579)=FALSE,ISBLANK(Acciones!$H579)=TRUE),"Faltan fechas",IF(Acciones!$H579="","",IF(AND(Acciones!$H579&gt;=TODAY(),ISBLANK(Acciones!$J579)=TRUE),"En tiempo",IF(AND(Acciones!$H579&lt;TODAY(),Acciones!$J579=""),"Retrasado",IF(Acciones!$J579&gt;Acciones!$H579,"Cerrado con retraso","Cerrado")))))</f>
        <v/>
      </c>
      <c r="L579" s="61"/>
      <c r="M579" s="74"/>
      <c r="T579" s="26"/>
      <c r="U579" s="26"/>
    </row>
    <row r="580" spans="2:21" x14ac:dyDescent="0.3">
      <c r="B580" s="53"/>
      <c r="C580" s="65"/>
      <c r="D580" s="61"/>
      <c r="E580" s="56"/>
      <c r="F580" s="53"/>
      <c r="G580" s="53" t="str">
        <f>IF(ISBLANK(Acciones!$H580)=TRUE," ",WEEKNUM(Acciones!$H580,21))</f>
        <v xml:space="preserve"> </v>
      </c>
      <c r="H580" s="53"/>
      <c r="I580" s="66"/>
      <c r="J580" s="53"/>
      <c r="K580" s="48" t="str">
        <f ca="1">IF(AND(ISBLANK(Acciones!$D580)=FALSE,ISBLANK(Acciones!$H580)=TRUE),"Faltan fechas",IF(Acciones!$H580="","",IF(AND(Acciones!$H580&gt;=TODAY(),ISBLANK(Acciones!$J580)=TRUE),"En tiempo",IF(AND(Acciones!$H580&lt;TODAY(),Acciones!$J580=""),"Retrasado",IF(Acciones!$J580&gt;Acciones!$H580,"Cerrado con retraso","Cerrado")))))</f>
        <v/>
      </c>
      <c r="L580" s="61"/>
      <c r="M580" s="74"/>
      <c r="T580" s="26"/>
      <c r="U580" s="26"/>
    </row>
    <row r="581" spans="2:21" x14ac:dyDescent="0.3">
      <c r="B581" s="53"/>
      <c r="C581" s="65"/>
      <c r="D581" s="61"/>
      <c r="E581" s="56"/>
      <c r="F581" s="53"/>
      <c r="G581" s="53" t="str">
        <f>IF(ISBLANK(Acciones!$H581)=TRUE," ",WEEKNUM(Acciones!$H581,21))</f>
        <v xml:space="preserve"> </v>
      </c>
      <c r="H581" s="53"/>
      <c r="I581" s="66"/>
      <c r="J581" s="53"/>
      <c r="K581" s="48" t="str">
        <f ca="1">IF(AND(ISBLANK(Acciones!$D581)=FALSE,ISBLANK(Acciones!$H581)=TRUE),"Faltan fechas",IF(Acciones!$H581="","",IF(AND(Acciones!$H581&gt;=TODAY(),ISBLANK(Acciones!$J581)=TRUE),"En tiempo",IF(AND(Acciones!$H581&lt;TODAY(),Acciones!$J581=""),"Retrasado",IF(Acciones!$J581&gt;Acciones!$H581,"Cerrado con retraso","Cerrado")))))</f>
        <v/>
      </c>
      <c r="L581" s="61"/>
      <c r="M581" s="74"/>
      <c r="T581" s="26"/>
      <c r="U581" s="26"/>
    </row>
    <row r="582" spans="2:21" x14ac:dyDescent="0.3">
      <c r="B582" s="53"/>
      <c r="C582" s="65"/>
      <c r="D582" s="61"/>
      <c r="E582" s="56"/>
      <c r="F582" s="53"/>
      <c r="G582" s="53" t="str">
        <f>IF(ISBLANK(Acciones!$H582)=TRUE," ",WEEKNUM(Acciones!$H582,21))</f>
        <v xml:space="preserve"> </v>
      </c>
      <c r="H582" s="53"/>
      <c r="I582" s="66"/>
      <c r="J582" s="53"/>
      <c r="K582" s="48" t="str">
        <f ca="1">IF(AND(ISBLANK(Acciones!$D582)=FALSE,ISBLANK(Acciones!$H582)=TRUE),"Faltan fechas",IF(Acciones!$H582="","",IF(AND(Acciones!$H582&gt;=TODAY(),ISBLANK(Acciones!$J582)=TRUE),"En tiempo",IF(AND(Acciones!$H582&lt;TODAY(),Acciones!$J582=""),"Retrasado",IF(Acciones!$J582&gt;Acciones!$H582,"Cerrado con retraso","Cerrado")))))</f>
        <v/>
      </c>
      <c r="L582" s="61"/>
      <c r="M582" s="74"/>
      <c r="T582" s="26"/>
      <c r="U582" s="26"/>
    </row>
    <row r="583" spans="2:21" x14ac:dyDescent="0.3">
      <c r="B583" s="53"/>
      <c r="C583" s="65"/>
      <c r="D583" s="61"/>
      <c r="E583" s="56"/>
      <c r="F583" s="53"/>
      <c r="G583" s="53" t="str">
        <f>IF(ISBLANK(Acciones!$H583)=TRUE," ",WEEKNUM(Acciones!$H583,21))</f>
        <v xml:space="preserve"> </v>
      </c>
      <c r="H583" s="53"/>
      <c r="I583" s="66"/>
      <c r="J583" s="53"/>
      <c r="K583" s="48" t="str">
        <f ca="1">IF(AND(ISBLANK(Acciones!$D583)=FALSE,ISBLANK(Acciones!$H583)=TRUE),"Faltan fechas",IF(Acciones!$H583="","",IF(AND(Acciones!$H583&gt;=TODAY(),ISBLANK(Acciones!$J583)=TRUE),"En tiempo",IF(AND(Acciones!$H583&lt;TODAY(),Acciones!$J583=""),"Retrasado",IF(Acciones!$J583&gt;Acciones!$H583,"Cerrado con retraso","Cerrado")))))</f>
        <v/>
      </c>
      <c r="L583" s="61"/>
      <c r="M583" s="74"/>
      <c r="T583" s="26"/>
      <c r="U583" s="26"/>
    </row>
    <row r="584" spans="2:21" x14ac:dyDescent="0.3">
      <c r="B584" s="53"/>
      <c r="C584" s="65"/>
      <c r="D584" s="61"/>
      <c r="E584" s="56"/>
      <c r="F584" s="53"/>
      <c r="G584" s="53" t="str">
        <f>IF(ISBLANK(Acciones!$H584)=TRUE," ",WEEKNUM(Acciones!$H584,21))</f>
        <v xml:space="preserve"> </v>
      </c>
      <c r="H584" s="53"/>
      <c r="I584" s="66"/>
      <c r="J584" s="53"/>
      <c r="K584" s="48" t="str">
        <f ca="1">IF(AND(ISBLANK(Acciones!$D584)=FALSE,ISBLANK(Acciones!$H584)=TRUE),"Faltan fechas",IF(Acciones!$H584="","",IF(AND(Acciones!$H584&gt;=TODAY(),ISBLANK(Acciones!$J584)=TRUE),"En tiempo",IF(AND(Acciones!$H584&lt;TODAY(),Acciones!$J584=""),"Retrasado",IF(Acciones!$J584&gt;Acciones!$H584,"Cerrado con retraso","Cerrado")))))</f>
        <v/>
      </c>
      <c r="L584" s="61"/>
      <c r="M584" s="74"/>
      <c r="T584" s="26"/>
      <c r="U584" s="26"/>
    </row>
    <row r="585" spans="2:21" x14ac:dyDescent="0.3">
      <c r="B585" s="53"/>
      <c r="C585" s="65"/>
      <c r="D585" s="61"/>
      <c r="E585" s="56"/>
      <c r="F585" s="53"/>
      <c r="G585" s="53" t="str">
        <f>IF(ISBLANK(Acciones!$H585)=TRUE," ",WEEKNUM(Acciones!$H585,21))</f>
        <v xml:space="preserve"> </v>
      </c>
      <c r="H585" s="53"/>
      <c r="I585" s="66"/>
      <c r="J585" s="53"/>
      <c r="K585" s="48" t="str">
        <f ca="1">IF(AND(ISBLANK(Acciones!$D585)=FALSE,ISBLANK(Acciones!$H585)=TRUE),"Faltan fechas",IF(Acciones!$H585="","",IF(AND(Acciones!$H585&gt;=TODAY(),ISBLANK(Acciones!$J585)=TRUE),"En tiempo",IF(AND(Acciones!$H585&lt;TODAY(),Acciones!$J585=""),"Retrasado",IF(Acciones!$J585&gt;Acciones!$H585,"Cerrado con retraso","Cerrado")))))</f>
        <v/>
      </c>
      <c r="L585" s="61"/>
      <c r="M585" s="74"/>
      <c r="T585" s="26"/>
      <c r="U585" s="26"/>
    </row>
    <row r="586" spans="2:21" x14ac:dyDescent="0.3">
      <c r="B586" s="53"/>
      <c r="C586" s="65"/>
      <c r="D586" s="61"/>
      <c r="E586" s="56"/>
      <c r="F586" s="53"/>
      <c r="G586" s="53" t="str">
        <f>IF(ISBLANK(Acciones!$H586)=TRUE," ",WEEKNUM(Acciones!$H586,21))</f>
        <v xml:space="preserve"> </v>
      </c>
      <c r="H586" s="53"/>
      <c r="I586" s="66"/>
      <c r="J586" s="53"/>
      <c r="K586" s="48" t="str">
        <f ca="1">IF(AND(ISBLANK(Acciones!$D586)=FALSE,ISBLANK(Acciones!$H586)=TRUE),"Faltan fechas",IF(Acciones!$H586="","",IF(AND(Acciones!$H586&gt;=TODAY(),ISBLANK(Acciones!$J586)=TRUE),"En tiempo",IF(AND(Acciones!$H586&lt;TODAY(),Acciones!$J586=""),"Retrasado",IF(Acciones!$J586&gt;Acciones!$H586,"Cerrado con retraso","Cerrado")))))</f>
        <v/>
      </c>
      <c r="L586" s="61"/>
      <c r="M586" s="74"/>
      <c r="T586" s="26"/>
      <c r="U586" s="26"/>
    </row>
    <row r="587" spans="2:21" x14ac:dyDescent="0.3">
      <c r="B587" s="53"/>
      <c r="C587" s="65"/>
      <c r="D587" s="61"/>
      <c r="E587" s="56"/>
      <c r="F587" s="53"/>
      <c r="G587" s="53" t="str">
        <f>IF(ISBLANK(Acciones!$H587)=TRUE," ",WEEKNUM(Acciones!$H587,21))</f>
        <v xml:space="preserve"> </v>
      </c>
      <c r="H587" s="53"/>
      <c r="I587" s="66"/>
      <c r="J587" s="53"/>
      <c r="K587" s="48" t="str">
        <f ca="1">IF(AND(ISBLANK(Acciones!$D587)=FALSE,ISBLANK(Acciones!$H587)=TRUE),"Faltan fechas",IF(Acciones!$H587="","",IF(AND(Acciones!$H587&gt;=TODAY(),ISBLANK(Acciones!$J587)=TRUE),"En tiempo",IF(AND(Acciones!$H587&lt;TODAY(),Acciones!$J587=""),"Retrasado",IF(Acciones!$J587&gt;Acciones!$H587,"Cerrado con retraso","Cerrado")))))</f>
        <v/>
      </c>
      <c r="L587" s="61"/>
      <c r="M587" s="74"/>
      <c r="T587" s="26"/>
      <c r="U587" s="26"/>
    </row>
    <row r="588" spans="2:21" x14ac:dyDescent="0.3">
      <c r="B588" s="53"/>
      <c r="C588" s="65"/>
      <c r="D588" s="61"/>
      <c r="E588" s="56"/>
      <c r="F588" s="53"/>
      <c r="G588" s="53" t="str">
        <f>IF(ISBLANK(Acciones!$H588)=TRUE," ",WEEKNUM(Acciones!$H588,21))</f>
        <v xml:space="preserve"> </v>
      </c>
      <c r="H588" s="53"/>
      <c r="I588" s="66"/>
      <c r="J588" s="53"/>
      <c r="K588" s="48" t="str">
        <f ca="1">IF(AND(ISBLANK(Acciones!$D588)=FALSE,ISBLANK(Acciones!$H588)=TRUE),"Faltan fechas",IF(Acciones!$H588="","",IF(AND(Acciones!$H588&gt;=TODAY(),ISBLANK(Acciones!$J588)=TRUE),"En tiempo",IF(AND(Acciones!$H588&lt;TODAY(),Acciones!$J588=""),"Retrasado",IF(Acciones!$J588&gt;Acciones!$H588,"Cerrado con retraso","Cerrado")))))</f>
        <v/>
      </c>
      <c r="L588" s="61"/>
      <c r="M588" s="74"/>
      <c r="T588" s="26"/>
      <c r="U588" s="26"/>
    </row>
    <row r="589" spans="2:21" x14ac:dyDescent="0.3">
      <c r="B589" s="53"/>
      <c r="C589" s="65"/>
      <c r="D589" s="61"/>
      <c r="E589" s="56"/>
      <c r="F589" s="53"/>
      <c r="G589" s="53" t="str">
        <f>IF(ISBLANK(Acciones!$H589)=TRUE," ",WEEKNUM(Acciones!$H589,21))</f>
        <v xml:space="preserve"> </v>
      </c>
      <c r="H589" s="53"/>
      <c r="I589" s="66"/>
      <c r="J589" s="53"/>
      <c r="K589" s="48" t="str">
        <f ca="1">IF(AND(ISBLANK(Acciones!$D589)=FALSE,ISBLANK(Acciones!$H589)=TRUE),"Faltan fechas",IF(Acciones!$H589="","",IF(AND(Acciones!$H589&gt;=TODAY(),ISBLANK(Acciones!$J589)=TRUE),"En tiempo",IF(AND(Acciones!$H589&lt;TODAY(),Acciones!$J589=""),"Retrasado",IF(Acciones!$J589&gt;Acciones!$H589,"Cerrado con retraso","Cerrado")))))</f>
        <v/>
      </c>
      <c r="L589" s="61"/>
      <c r="M589" s="74"/>
      <c r="T589" s="26"/>
      <c r="U589" s="26"/>
    </row>
    <row r="590" spans="2:21" x14ac:dyDescent="0.3">
      <c r="B590" s="53"/>
      <c r="C590" s="65"/>
      <c r="D590" s="61"/>
      <c r="E590" s="56"/>
      <c r="F590" s="53"/>
      <c r="G590" s="53" t="str">
        <f>IF(ISBLANK(Acciones!$H590)=TRUE," ",WEEKNUM(Acciones!$H590,21))</f>
        <v xml:space="preserve"> </v>
      </c>
      <c r="H590" s="53"/>
      <c r="I590" s="66"/>
      <c r="J590" s="53"/>
      <c r="K590" s="48" t="str">
        <f ca="1">IF(AND(ISBLANK(Acciones!$D590)=FALSE,ISBLANK(Acciones!$H590)=TRUE),"Faltan fechas",IF(Acciones!$H590="","",IF(AND(Acciones!$H590&gt;=TODAY(),ISBLANK(Acciones!$J590)=TRUE),"En tiempo",IF(AND(Acciones!$H590&lt;TODAY(),Acciones!$J590=""),"Retrasado",IF(Acciones!$J590&gt;Acciones!$H590,"Cerrado con retraso","Cerrado")))))</f>
        <v/>
      </c>
      <c r="L590" s="61"/>
      <c r="M590" s="74"/>
      <c r="T590" s="26"/>
      <c r="U590" s="26"/>
    </row>
    <row r="591" spans="2:21" x14ac:dyDescent="0.3">
      <c r="B591" s="53"/>
      <c r="C591" s="65"/>
      <c r="D591" s="61"/>
      <c r="E591" s="56"/>
      <c r="F591" s="53"/>
      <c r="G591" s="53" t="str">
        <f>IF(ISBLANK(Acciones!$H591)=TRUE," ",WEEKNUM(Acciones!$H591,21))</f>
        <v xml:space="preserve"> </v>
      </c>
      <c r="H591" s="53"/>
      <c r="I591" s="66"/>
      <c r="J591" s="53"/>
      <c r="K591" s="48" t="str">
        <f ca="1">IF(AND(ISBLANK(Acciones!$D591)=FALSE,ISBLANK(Acciones!$H591)=TRUE),"Faltan fechas",IF(Acciones!$H591="","",IF(AND(Acciones!$H591&gt;=TODAY(),ISBLANK(Acciones!$J591)=TRUE),"En tiempo",IF(AND(Acciones!$H591&lt;TODAY(),Acciones!$J591=""),"Retrasado",IF(Acciones!$J591&gt;Acciones!$H591,"Cerrado con retraso","Cerrado")))))</f>
        <v/>
      </c>
      <c r="L591" s="61"/>
      <c r="M591" s="74"/>
      <c r="T591" s="26"/>
      <c r="U591" s="26"/>
    </row>
    <row r="592" spans="2:21" x14ac:dyDescent="0.3">
      <c r="B592" s="53"/>
      <c r="C592" s="65"/>
      <c r="D592" s="61"/>
      <c r="E592" s="56"/>
      <c r="F592" s="53"/>
      <c r="G592" s="53" t="str">
        <f>IF(ISBLANK(Acciones!$H592)=TRUE," ",WEEKNUM(Acciones!$H592,21))</f>
        <v xml:space="preserve"> </v>
      </c>
      <c r="H592" s="53"/>
      <c r="I592" s="66"/>
      <c r="J592" s="53"/>
      <c r="K592" s="48" t="str">
        <f ca="1">IF(AND(ISBLANK(Acciones!$D592)=FALSE,ISBLANK(Acciones!$H592)=TRUE),"Faltan fechas",IF(Acciones!$H592="","",IF(AND(Acciones!$H592&gt;=TODAY(),ISBLANK(Acciones!$J592)=TRUE),"En tiempo",IF(AND(Acciones!$H592&lt;TODAY(),Acciones!$J592=""),"Retrasado",IF(Acciones!$J592&gt;Acciones!$H592,"Cerrado con retraso","Cerrado")))))</f>
        <v/>
      </c>
      <c r="L592" s="61"/>
      <c r="M592" s="74"/>
      <c r="T592" s="26"/>
      <c r="U592" s="26"/>
    </row>
    <row r="593" spans="2:21" x14ac:dyDescent="0.3">
      <c r="B593" s="53"/>
      <c r="C593" s="65"/>
      <c r="D593" s="61"/>
      <c r="E593" s="56"/>
      <c r="F593" s="53"/>
      <c r="G593" s="53" t="str">
        <f>IF(ISBLANK(Acciones!$H593)=TRUE," ",WEEKNUM(Acciones!$H593,21))</f>
        <v xml:space="preserve"> </v>
      </c>
      <c r="H593" s="53"/>
      <c r="I593" s="66"/>
      <c r="J593" s="53"/>
      <c r="K593" s="48" t="str">
        <f ca="1">IF(AND(ISBLANK(Acciones!$D593)=FALSE,ISBLANK(Acciones!$H593)=TRUE),"Faltan fechas",IF(Acciones!$H593="","",IF(AND(Acciones!$H593&gt;=TODAY(),ISBLANK(Acciones!$J593)=TRUE),"En tiempo",IF(AND(Acciones!$H593&lt;TODAY(),Acciones!$J593=""),"Retrasado",IF(Acciones!$J593&gt;Acciones!$H593,"Cerrado con retraso","Cerrado")))))</f>
        <v/>
      </c>
      <c r="L593" s="61"/>
      <c r="M593" s="74"/>
      <c r="T593" s="26"/>
      <c r="U593" s="26"/>
    </row>
    <row r="594" spans="2:21" x14ac:dyDescent="0.3">
      <c r="B594" s="53"/>
      <c r="C594" s="65"/>
      <c r="D594" s="61"/>
      <c r="E594" s="56"/>
      <c r="F594" s="53"/>
      <c r="G594" s="53" t="str">
        <f>IF(ISBLANK(Acciones!$H594)=TRUE," ",WEEKNUM(Acciones!$H594,21))</f>
        <v xml:space="preserve"> </v>
      </c>
      <c r="H594" s="53"/>
      <c r="I594" s="66"/>
      <c r="J594" s="53"/>
      <c r="K594" s="48" t="str">
        <f ca="1">IF(AND(ISBLANK(Acciones!$D594)=FALSE,ISBLANK(Acciones!$H594)=TRUE),"Faltan fechas",IF(Acciones!$H594="","",IF(AND(Acciones!$H594&gt;=TODAY(),ISBLANK(Acciones!$J594)=TRUE),"En tiempo",IF(AND(Acciones!$H594&lt;TODAY(),Acciones!$J594=""),"Retrasado",IF(Acciones!$J594&gt;Acciones!$H594,"Cerrado con retraso","Cerrado")))))</f>
        <v/>
      </c>
      <c r="L594" s="61"/>
      <c r="M594" s="74"/>
      <c r="T594" s="26"/>
      <c r="U594" s="26"/>
    </row>
    <row r="595" spans="2:21" x14ac:dyDescent="0.3">
      <c r="B595" s="53"/>
      <c r="C595" s="65"/>
      <c r="D595" s="61"/>
      <c r="E595" s="56"/>
      <c r="F595" s="53"/>
      <c r="G595" s="53" t="str">
        <f>IF(ISBLANK(Acciones!$H595)=TRUE," ",WEEKNUM(Acciones!$H595,21))</f>
        <v xml:space="preserve"> </v>
      </c>
      <c r="H595" s="53"/>
      <c r="I595" s="66"/>
      <c r="J595" s="53"/>
      <c r="K595" s="48" t="str">
        <f ca="1">IF(AND(ISBLANK(Acciones!$D595)=FALSE,ISBLANK(Acciones!$H595)=TRUE),"Faltan fechas",IF(Acciones!$H595="","",IF(AND(Acciones!$H595&gt;=TODAY(),ISBLANK(Acciones!$J595)=TRUE),"En tiempo",IF(AND(Acciones!$H595&lt;TODAY(),Acciones!$J595=""),"Retrasado",IF(Acciones!$J595&gt;Acciones!$H595,"Cerrado con retraso","Cerrado")))))</f>
        <v/>
      </c>
      <c r="L595" s="61"/>
      <c r="M595" s="74"/>
      <c r="T595" s="26"/>
      <c r="U595" s="26"/>
    </row>
    <row r="596" spans="2:21" x14ac:dyDescent="0.3">
      <c r="B596" s="53"/>
      <c r="C596" s="65"/>
      <c r="D596" s="61"/>
      <c r="E596" s="56"/>
      <c r="F596" s="53"/>
      <c r="G596" s="53" t="str">
        <f>IF(ISBLANK(Acciones!$H596)=TRUE," ",WEEKNUM(Acciones!$H596,21))</f>
        <v xml:space="preserve"> </v>
      </c>
      <c r="H596" s="53"/>
      <c r="I596" s="66"/>
      <c r="J596" s="53"/>
      <c r="K596" s="48" t="str">
        <f ca="1">IF(AND(ISBLANK(Acciones!$D596)=FALSE,ISBLANK(Acciones!$H596)=TRUE),"Faltan fechas",IF(Acciones!$H596="","",IF(AND(Acciones!$H596&gt;=TODAY(),ISBLANK(Acciones!$J596)=TRUE),"En tiempo",IF(AND(Acciones!$H596&lt;TODAY(),Acciones!$J596=""),"Retrasado",IF(Acciones!$J596&gt;Acciones!$H596,"Cerrado con retraso","Cerrado")))))</f>
        <v/>
      </c>
      <c r="L596" s="61"/>
      <c r="M596" s="74"/>
      <c r="T596" s="26"/>
      <c r="U596" s="26"/>
    </row>
    <row r="597" spans="2:21" x14ac:dyDescent="0.3">
      <c r="B597" s="53"/>
      <c r="C597" s="65"/>
      <c r="D597" s="61"/>
      <c r="E597" s="56"/>
      <c r="F597" s="53"/>
      <c r="G597" s="53" t="str">
        <f>IF(ISBLANK(Acciones!$H597)=TRUE," ",WEEKNUM(Acciones!$H597,21))</f>
        <v xml:space="preserve"> </v>
      </c>
      <c r="H597" s="53"/>
      <c r="I597" s="66"/>
      <c r="J597" s="53"/>
      <c r="K597" s="48" t="str">
        <f ca="1">IF(AND(ISBLANK(Acciones!$D597)=FALSE,ISBLANK(Acciones!$H597)=TRUE),"Faltan fechas",IF(Acciones!$H597="","",IF(AND(Acciones!$H597&gt;=TODAY(),ISBLANK(Acciones!$J597)=TRUE),"En tiempo",IF(AND(Acciones!$H597&lt;TODAY(),Acciones!$J597=""),"Retrasado",IF(Acciones!$J597&gt;Acciones!$H597,"Cerrado con retraso","Cerrado")))))</f>
        <v/>
      </c>
      <c r="L597" s="61"/>
      <c r="M597" s="74"/>
      <c r="T597" s="26"/>
      <c r="U597" s="26"/>
    </row>
    <row r="598" spans="2:21" x14ac:dyDescent="0.3">
      <c r="B598" s="53"/>
      <c r="C598" s="65"/>
      <c r="D598" s="61"/>
      <c r="E598" s="56"/>
      <c r="F598" s="53"/>
      <c r="G598" s="53" t="str">
        <f>IF(ISBLANK(Acciones!$H598)=TRUE," ",WEEKNUM(Acciones!$H598,21))</f>
        <v xml:space="preserve"> </v>
      </c>
      <c r="H598" s="53"/>
      <c r="I598" s="66"/>
      <c r="J598" s="53"/>
      <c r="K598" s="48" t="str">
        <f ca="1">IF(AND(ISBLANK(Acciones!$D598)=FALSE,ISBLANK(Acciones!$H598)=TRUE),"Faltan fechas",IF(Acciones!$H598="","",IF(AND(Acciones!$H598&gt;=TODAY(),ISBLANK(Acciones!$J598)=TRUE),"En tiempo",IF(AND(Acciones!$H598&lt;TODAY(),Acciones!$J598=""),"Retrasado",IF(Acciones!$J598&gt;Acciones!$H598,"Cerrado con retraso","Cerrado")))))</f>
        <v/>
      </c>
      <c r="L598" s="61"/>
      <c r="M598" s="74"/>
      <c r="T598" s="26"/>
      <c r="U598" s="26"/>
    </row>
    <row r="599" spans="2:21" x14ac:dyDescent="0.3">
      <c r="B599" s="53"/>
      <c r="C599" s="65"/>
      <c r="D599" s="61"/>
      <c r="E599" s="56"/>
      <c r="F599" s="53"/>
      <c r="G599" s="53" t="str">
        <f>IF(ISBLANK(Acciones!$H599)=TRUE," ",WEEKNUM(Acciones!$H599,21))</f>
        <v xml:space="preserve"> </v>
      </c>
      <c r="H599" s="53"/>
      <c r="I599" s="66"/>
      <c r="J599" s="53"/>
      <c r="K599" s="48" t="str">
        <f ca="1">IF(AND(ISBLANK(Acciones!$D599)=FALSE,ISBLANK(Acciones!$H599)=TRUE),"Faltan fechas",IF(Acciones!$H599="","",IF(AND(Acciones!$H599&gt;=TODAY(),ISBLANK(Acciones!$J599)=TRUE),"En tiempo",IF(AND(Acciones!$H599&lt;TODAY(),Acciones!$J599=""),"Retrasado",IF(Acciones!$J599&gt;Acciones!$H599,"Cerrado con retraso","Cerrado")))))</f>
        <v/>
      </c>
      <c r="L599" s="61"/>
      <c r="M599" s="74"/>
      <c r="T599" s="26"/>
      <c r="U599" s="26"/>
    </row>
    <row r="600" spans="2:21" x14ac:dyDescent="0.3">
      <c r="B600" s="53"/>
      <c r="C600" s="65"/>
      <c r="D600" s="61"/>
      <c r="E600" s="56"/>
      <c r="F600" s="53"/>
      <c r="G600" s="53" t="str">
        <f>IF(ISBLANK(Acciones!$H600)=TRUE," ",WEEKNUM(Acciones!$H600,21))</f>
        <v xml:space="preserve"> </v>
      </c>
      <c r="H600" s="53"/>
      <c r="I600" s="66"/>
      <c r="J600" s="53"/>
      <c r="K600" s="48" t="str">
        <f ca="1">IF(AND(ISBLANK(Acciones!$D600)=FALSE,ISBLANK(Acciones!$H600)=TRUE),"Faltan fechas",IF(Acciones!$H600="","",IF(AND(Acciones!$H600&gt;=TODAY(),ISBLANK(Acciones!$J600)=TRUE),"En tiempo",IF(AND(Acciones!$H600&lt;TODAY(),Acciones!$J600=""),"Retrasado",IF(Acciones!$J600&gt;Acciones!$H600,"Cerrado con retraso","Cerrado")))))</f>
        <v/>
      </c>
      <c r="L600" s="61"/>
      <c r="M600" s="74"/>
      <c r="T600" s="26"/>
      <c r="U600" s="26"/>
    </row>
    <row r="601" spans="2:21" x14ac:dyDescent="0.3">
      <c r="B601" s="53"/>
      <c r="C601" s="65"/>
      <c r="D601" s="61"/>
      <c r="E601" s="56"/>
      <c r="F601" s="53"/>
      <c r="G601" s="53" t="str">
        <f>IF(ISBLANK(Acciones!$H601)=TRUE," ",WEEKNUM(Acciones!$H601,21))</f>
        <v xml:space="preserve"> </v>
      </c>
      <c r="H601" s="53"/>
      <c r="I601" s="66"/>
      <c r="J601" s="53"/>
      <c r="K601" s="48" t="str">
        <f ca="1">IF(AND(ISBLANK(Acciones!$D601)=FALSE,ISBLANK(Acciones!$H601)=TRUE),"Faltan fechas",IF(Acciones!$H601="","",IF(AND(Acciones!$H601&gt;=TODAY(),ISBLANK(Acciones!$J601)=TRUE),"En tiempo",IF(AND(Acciones!$H601&lt;TODAY(),Acciones!$J601=""),"Retrasado",IF(Acciones!$J601&gt;Acciones!$H601,"Cerrado con retraso","Cerrado")))))</f>
        <v/>
      </c>
      <c r="L601" s="61"/>
      <c r="M601" s="74"/>
      <c r="T601" s="26"/>
      <c r="U601" s="26"/>
    </row>
    <row r="602" spans="2:21" x14ac:dyDescent="0.3">
      <c r="B602" s="53"/>
      <c r="C602" s="65"/>
      <c r="D602" s="61"/>
      <c r="E602" s="56"/>
      <c r="F602" s="53"/>
      <c r="G602" s="53" t="str">
        <f>IF(ISBLANK(Acciones!$H602)=TRUE," ",WEEKNUM(Acciones!$H602,21))</f>
        <v xml:space="preserve"> </v>
      </c>
      <c r="H602" s="53"/>
      <c r="I602" s="66"/>
      <c r="J602" s="53"/>
      <c r="K602" s="48" t="str">
        <f ca="1">IF(AND(ISBLANK(Acciones!$D602)=FALSE,ISBLANK(Acciones!$H602)=TRUE),"Faltan fechas",IF(Acciones!$H602="","",IF(AND(Acciones!$H602&gt;=TODAY(),ISBLANK(Acciones!$J602)=TRUE),"En tiempo",IF(AND(Acciones!$H602&lt;TODAY(),Acciones!$J602=""),"Retrasado",IF(Acciones!$J602&gt;Acciones!$H602,"Cerrado con retraso","Cerrado")))))</f>
        <v/>
      </c>
      <c r="L602" s="61"/>
      <c r="M602" s="74"/>
      <c r="T602" s="26"/>
      <c r="U602" s="26"/>
    </row>
    <row r="603" spans="2:21" x14ac:dyDescent="0.3">
      <c r="B603" s="53"/>
      <c r="C603" s="65"/>
      <c r="D603" s="61"/>
      <c r="E603" s="56"/>
      <c r="F603" s="53"/>
      <c r="G603" s="53" t="str">
        <f>IF(ISBLANK(Acciones!$H603)=TRUE," ",WEEKNUM(Acciones!$H603,21))</f>
        <v xml:space="preserve"> </v>
      </c>
      <c r="H603" s="53"/>
      <c r="I603" s="66"/>
      <c r="J603" s="53"/>
      <c r="K603" s="48" t="str">
        <f ca="1">IF(AND(ISBLANK(Acciones!$D603)=FALSE,ISBLANK(Acciones!$H603)=TRUE),"Faltan fechas",IF(Acciones!$H603="","",IF(AND(Acciones!$H603&gt;=TODAY(),ISBLANK(Acciones!$J603)=TRUE),"En tiempo",IF(AND(Acciones!$H603&lt;TODAY(),Acciones!$J603=""),"Retrasado",IF(Acciones!$J603&gt;Acciones!$H603,"Cerrado con retraso","Cerrado")))))</f>
        <v/>
      </c>
      <c r="L603" s="61"/>
      <c r="M603" s="74"/>
      <c r="T603" s="26"/>
      <c r="U603" s="26"/>
    </row>
    <row r="604" spans="2:21" x14ac:dyDescent="0.3">
      <c r="B604" s="53"/>
      <c r="C604" s="65"/>
      <c r="D604" s="61"/>
      <c r="E604" s="56"/>
      <c r="F604" s="53"/>
      <c r="G604" s="53" t="str">
        <f>IF(ISBLANK(Acciones!$H604)=TRUE," ",WEEKNUM(Acciones!$H604,21))</f>
        <v xml:space="preserve"> </v>
      </c>
      <c r="H604" s="53"/>
      <c r="I604" s="66"/>
      <c r="J604" s="53"/>
      <c r="K604" s="48" t="str">
        <f ca="1">IF(AND(ISBLANK(Acciones!$D604)=FALSE,ISBLANK(Acciones!$H604)=TRUE),"Faltan fechas",IF(Acciones!$H604="","",IF(AND(Acciones!$H604&gt;=TODAY(),ISBLANK(Acciones!$J604)=TRUE),"En tiempo",IF(AND(Acciones!$H604&lt;TODAY(),Acciones!$J604=""),"Retrasado",IF(Acciones!$J604&gt;Acciones!$H604,"Cerrado con retraso","Cerrado")))))</f>
        <v/>
      </c>
      <c r="L604" s="61"/>
      <c r="M604" s="74"/>
      <c r="T604" s="26"/>
      <c r="U604" s="26"/>
    </row>
    <row r="605" spans="2:21" x14ac:dyDescent="0.3">
      <c r="B605" s="53"/>
      <c r="C605" s="65"/>
      <c r="D605" s="61"/>
      <c r="E605" s="56"/>
      <c r="F605" s="53"/>
      <c r="G605" s="53" t="str">
        <f>IF(ISBLANK(Acciones!$H605)=TRUE," ",WEEKNUM(Acciones!$H605,21))</f>
        <v xml:space="preserve"> </v>
      </c>
      <c r="H605" s="53"/>
      <c r="I605" s="66"/>
      <c r="J605" s="53"/>
      <c r="K605" s="48" t="str">
        <f ca="1">IF(AND(ISBLANK(Acciones!$D605)=FALSE,ISBLANK(Acciones!$H605)=TRUE),"Faltan fechas",IF(Acciones!$H605="","",IF(AND(Acciones!$H605&gt;=TODAY(),ISBLANK(Acciones!$J605)=TRUE),"En tiempo",IF(AND(Acciones!$H605&lt;TODAY(),Acciones!$J605=""),"Retrasado",IF(Acciones!$J605&gt;Acciones!$H605,"Cerrado con retraso","Cerrado")))))</f>
        <v/>
      </c>
      <c r="L605" s="61"/>
      <c r="M605" s="74"/>
      <c r="T605" s="26"/>
      <c r="U605" s="26"/>
    </row>
    <row r="606" spans="2:21" x14ac:dyDescent="0.3">
      <c r="B606" s="53"/>
      <c r="C606" s="65"/>
      <c r="D606" s="61"/>
      <c r="E606" s="56"/>
      <c r="F606" s="53"/>
      <c r="G606" s="53" t="str">
        <f>IF(ISBLANK(Acciones!$H606)=TRUE," ",WEEKNUM(Acciones!$H606,21))</f>
        <v xml:space="preserve"> </v>
      </c>
      <c r="H606" s="53"/>
      <c r="I606" s="66"/>
      <c r="J606" s="53"/>
      <c r="K606" s="48" t="str">
        <f ca="1">IF(AND(ISBLANK(Acciones!$D606)=FALSE,ISBLANK(Acciones!$H606)=TRUE),"Faltan fechas",IF(Acciones!$H606="","",IF(AND(Acciones!$H606&gt;=TODAY(),ISBLANK(Acciones!$J606)=TRUE),"En tiempo",IF(AND(Acciones!$H606&lt;TODAY(),Acciones!$J606=""),"Retrasado",IF(Acciones!$J606&gt;Acciones!$H606,"Cerrado con retraso","Cerrado")))))</f>
        <v/>
      </c>
      <c r="L606" s="61"/>
      <c r="M606" s="74"/>
      <c r="T606" s="26"/>
      <c r="U606" s="26"/>
    </row>
    <row r="607" spans="2:21" x14ac:dyDescent="0.3">
      <c r="B607" s="53"/>
      <c r="C607" s="65"/>
      <c r="D607" s="61"/>
      <c r="E607" s="56"/>
      <c r="F607" s="53"/>
      <c r="G607" s="53" t="str">
        <f>IF(ISBLANK(Acciones!$H607)=TRUE," ",WEEKNUM(Acciones!$H607,21))</f>
        <v xml:space="preserve"> </v>
      </c>
      <c r="H607" s="53"/>
      <c r="I607" s="66"/>
      <c r="J607" s="53"/>
      <c r="K607" s="48" t="str">
        <f ca="1">IF(AND(ISBLANK(Acciones!$D607)=FALSE,ISBLANK(Acciones!$H607)=TRUE),"Faltan fechas",IF(Acciones!$H607="","",IF(AND(Acciones!$H607&gt;=TODAY(),ISBLANK(Acciones!$J607)=TRUE),"En tiempo",IF(AND(Acciones!$H607&lt;TODAY(),Acciones!$J607=""),"Retrasado",IF(Acciones!$J607&gt;Acciones!$H607,"Cerrado con retraso","Cerrado")))))</f>
        <v/>
      </c>
      <c r="L607" s="61"/>
      <c r="M607" s="74"/>
      <c r="T607" s="26"/>
      <c r="U607" s="26"/>
    </row>
    <row r="608" spans="2:21" x14ac:dyDescent="0.3">
      <c r="B608" s="53"/>
      <c r="C608" s="65"/>
      <c r="D608" s="61"/>
      <c r="E608" s="56"/>
      <c r="F608" s="53"/>
      <c r="G608" s="53" t="str">
        <f>IF(ISBLANK(Acciones!$H608)=TRUE," ",WEEKNUM(Acciones!$H608,21))</f>
        <v xml:space="preserve"> </v>
      </c>
      <c r="H608" s="53"/>
      <c r="I608" s="66"/>
      <c r="J608" s="53"/>
      <c r="K608" s="48" t="str">
        <f ca="1">IF(AND(ISBLANK(Acciones!$D608)=FALSE,ISBLANK(Acciones!$H608)=TRUE),"Faltan fechas",IF(Acciones!$H608="","",IF(AND(Acciones!$H608&gt;=TODAY(),ISBLANK(Acciones!$J608)=TRUE),"En tiempo",IF(AND(Acciones!$H608&lt;TODAY(),Acciones!$J608=""),"Retrasado",IF(Acciones!$J608&gt;Acciones!$H608,"Cerrado con retraso","Cerrado")))))</f>
        <v/>
      </c>
      <c r="L608" s="61"/>
      <c r="M608" s="74"/>
      <c r="T608" s="26"/>
      <c r="U608" s="26"/>
    </row>
    <row r="609" spans="2:21" x14ac:dyDescent="0.3">
      <c r="B609" s="53"/>
      <c r="C609" s="65"/>
      <c r="D609" s="61"/>
      <c r="E609" s="56"/>
      <c r="F609" s="53"/>
      <c r="G609" s="53" t="str">
        <f>IF(ISBLANK(Acciones!$H609)=TRUE," ",WEEKNUM(Acciones!$H609,21))</f>
        <v xml:space="preserve"> </v>
      </c>
      <c r="H609" s="53"/>
      <c r="I609" s="66"/>
      <c r="J609" s="53"/>
      <c r="K609" s="48" t="str">
        <f ca="1">IF(AND(ISBLANK(Acciones!$D609)=FALSE,ISBLANK(Acciones!$H609)=TRUE),"Faltan fechas",IF(Acciones!$H609="","",IF(AND(Acciones!$H609&gt;=TODAY(),ISBLANK(Acciones!$J609)=TRUE),"En tiempo",IF(AND(Acciones!$H609&lt;TODAY(),Acciones!$J609=""),"Retrasado",IF(Acciones!$J609&gt;Acciones!$H609,"Cerrado con retraso","Cerrado")))))</f>
        <v/>
      </c>
      <c r="L609" s="61"/>
      <c r="M609" s="74"/>
      <c r="T609" s="26"/>
      <c r="U609" s="26"/>
    </row>
    <row r="610" spans="2:21" x14ac:dyDescent="0.3">
      <c r="B610" s="53"/>
      <c r="C610" s="65"/>
      <c r="D610" s="61"/>
      <c r="E610" s="56"/>
      <c r="F610" s="53"/>
      <c r="G610" s="53" t="str">
        <f>IF(ISBLANK(Acciones!$H610)=TRUE," ",WEEKNUM(Acciones!$H610,21))</f>
        <v xml:space="preserve"> </v>
      </c>
      <c r="H610" s="53"/>
      <c r="I610" s="66"/>
      <c r="J610" s="53"/>
      <c r="K610" s="48" t="str">
        <f ca="1">IF(AND(ISBLANK(Acciones!$D610)=FALSE,ISBLANK(Acciones!$H610)=TRUE),"Faltan fechas",IF(Acciones!$H610="","",IF(AND(Acciones!$H610&gt;=TODAY(),ISBLANK(Acciones!$J610)=TRUE),"En tiempo",IF(AND(Acciones!$H610&lt;TODAY(),Acciones!$J610=""),"Retrasado",IF(Acciones!$J610&gt;Acciones!$H610,"Cerrado con retraso","Cerrado")))))</f>
        <v/>
      </c>
      <c r="L610" s="61"/>
      <c r="M610" s="74"/>
      <c r="T610" s="26"/>
      <c r="U610" s="26"/>
    </row>
    <row r="611" spans="2:21" x14ac:dyDescent="0.3">
      <c r="B611" s="53"/>
      <c r="C611" s="65"/>
      <c r="D611" s="61"/>
      <c r="E611" s="56"/>
      <c r="F611" s="53"/>
      <c r="G611" s="53" t="str">
        <f>IF(ISBLANK(Acciones!$H611)=TRUE," ",WEEKNUM(Acciones!$H611,21))</f>
        <v xml:space="preserve"> </v>
      </c>
      <c r="H611" s="53"/>
      <c r="I611" s="66"/>
      <c r="J611" s="53"/>
      <c r="K611" s="48" t="str">
        <f ca="1">IF(AND(ISBLANK(Acciones!$D611)=FALSE,ISBLANK(Acciones!$H611)=TRUE),"Faltan fechas",IF(Acciones!$H611="","",IF(AND(Acciones!$H611&gt;=TODAY(),ISBLANK(Acciones!$J611)=TRUE),"En tiempo",IF(AND(Acciones!$H611&lt;TODAY(),Acciones!$J611=""),"Retrasado",IF(Acciones!$J611&gt;Acciones!$H611,"Cerrado con retraso","Cerrado")))))</f>
        <v/>
      </c>
      <c r="L611" s="61"/>
      <c r="M611" s="74"/>
      <c r="T611" s="26"/>
      <c r="U611" s="26"/>
    </row>
    <row r="612" spans="2:21" x14ac:dyDescent="0.3">
      <c r="B612" s="53"/>
      <c r="C612" s="65"/>
      <c r="D612" s="61"/>
      <c r="E612" s="56"/>
      <c r="F612" s="53"/>
      <c r="G612" s="53" t="str">
        <f>IF(ISBLANK(Acciones!$H612)=TRUE," ",WEEKNUM(Acciones!$H612,21))</f>
        <v xml:space="preserve"> </v>
      </c>
      <c r="H612" s="53"/>
      <c r="I612" s="66"/>
      <c r="J612" s="53"/>
      <c r="K612" s="48" t="str">
        <f ca="1">IF(AND(ISBLANK(Acciones!$D612)=FALSE,ISBLANK(Acciones!$H612)=TRUE),"Faltan fechas",IF(Acciones!$H612="","",IF(AND(Acciones!$H612&gt;=TODAY(),ISBLANK(Acciones!$J612)=TRUE),"En tiempo",IF(AND(Acciones!$H612&lt;TODAY(),Acciones!$J612=""),"Retrasado",IF(Acciones!$J612&gt;Acciones!$H612,"Cerrado con retraso","Cerrado")))))</f>
        <v/>
      </c>
      <c r="L612" s="61"/>
      <c r="M612" s="74"/>
      <c r="T612" s="26"/>
      <c r="U612" s="26"/>
    </row>
    <row r="613" spans="2:21" x14ac:dyDescent="0.3">
      <c r="B613" s="53"/>
      <c r="C613" s="65"/>
      <c r="D613" s="61"/>
      <c r="E613" s="56"/>
      <c r="F613" s="53"/>
      <c r="G613" s="53" t="str">
        <f>IF(ISBLANK(Acciones!$H613)=TRUE," ",WEEKNUM(Acciones!$H613,21))</f>
        <v xml:space="preserve"> </v>
      </c>
      <c r="H613" s="53"/>
      <c r="I613" s="66"/>
      <c r="J613" s="53"/>
      <c r="K613" s="48" t="str">
        <f ca="1">IF(AND(ISBLANK(Acciones!$D613)=FALSE,ISBLANK(Acciones!$H613)=TRUE),"Faltan fechas",IF(Acciones!$H613="","",IF(AND(Acciones!$H613&gt;=TODAY(),ISBLANK(Acciones!$J613)=TRUE),"En tiempo",IF(AND(Acciones!$H613&lt;TODAY(),Acciones!$J613=""),"Retrasado",IF(Acciones!$J613&gt;Acciones!$H613,"Cerrado con retraso","Cerrado")))))</f>
        <v/>
      </c>
      <c r="L613" s="61"/>
      <c r="M613" s="74"/>
      <c r="T613" s="26"/>
      <c r="U613" s="26"/>
    </row>
    <row r="614" spans="2:21" x14ac:dyDescent="0.3">
      <c r="B614" s="53"/>
      <c r="C614" s="65"/>
      <c r="D614" s="61"/>
      <c r="E614" s="56"/>
      <c r="F614" s="53"/>
      <c r="G614" s="53" t="str">
        <f>IF(ISBLANK(Acciones!$H614)=TRUE," ",WEEKNUM(Acciones!$H614,21))</f>
        <v xml:space="preserve"> </v>
      </c>
      <c r="H614" s="53"/>
      <c r="I614" s="66"/>
      <c r="J614" s="53"/>
      <c r="K614" s="48" t="str">
        <f ca="1">IF(AND(ISBLANK(Acciones!$D614)=FALSE,ISBLANK(Acciones!$H614)=TRUE),"Faltan fechas",IF(Acciones!$H614="","",IF(AND(Acciones!$H614&gt;=TODAY(),ISBLANK(Acciones!$J614)=TRUE),"En tiempo",IF(AND(Acciones!$H614&lt;TODAY(),Acciones!$J614=""),"Retrasado",IF(Acciones!$J614&gt;Acciones!$H614,"Cerrado con retraso","Cerrado")))))</f>
        <v/>
      </c>
      <c r="L614" s="61"/>
      <c r="M614" s="74"/>
      <c r="T614" s="26"/>
      <c r="U614" s="26"/>
    </row>
    <row r="615" spans="2:21" x14ac:dyDescent="0.3">
      <c r="B615" s="53"/>
      <c r="C615" s="65"/>
      <c r="D615" s="61"/>
      <c r="E615" s="56"/>
      <c r="F615" s="53"/>
      <c r="G615" s="53" t="str">
        <f>IF(ISBLANK(Acciones!$H615)=TRUE," ",WEEKNUM(Acciones!$H615,21))</f>
        <v xml:space="preserve"> </v>
      </c>
      <c r="H615" s="53"/>
      <c r="I615" s="66"/>
      <c r="J615" s="53"/>
      <c r="K615" s="48" t="str">
        <f ca="1">IF(AND(ISBLANK(Acciones!$D615)=FALSE,ISBLANK(Acciones!$H615)=TRUE),"Faltan fechas",IF(Acciones!$H615="","",IF(AND(Acciones!$H615&gt;=TODAY(),ISBLANK(Acciones!$J615)=TRUE),"En tiempo",IF(AND(Acciones!$H615&lt;TODAY(),Acciones!$J615=""),"Retrasado",IF(Acciones!$J615&gt;Acciones!$H615,"Cerrado con retraso","Cerrado")))))</f>
        <v/>
      </c>
      <c r="L615" s="61"/>
      <c r="M615" s="74"/>
      <c r="T615" s="26"/>
      <c r="U615" s="26"/>
    </row>
    <row r="616" spans="2:21" x14ac:dyDescent="0.3">
      <c r="B616" s="53"/>
      <c r="C616" s="65"/>
      <c r="D616" s="61"/>
      <c r="E616" s="56"/>
      <c r="F616" s="53"/>
      <c r="G616" s="53" t="str">
        <f>IF(ISBLANK(Acciones!$H616)=TRUE," ",WEEKNUM(Acciones!$H616,21))</f>
        <v xml:space="preserve"> </v>
      </c>
      <c r="H616" s="53"/>
      <c r="I616" s="66"/>
      <c r="J616" s="53"/>
      <c r="K616" s="48" t="str">
        <f ca="1">IF(AND(ISBLANK(Acciones!$D616)=FALSE,ISBLANK(Acciones!$H616)=TRUE),"Faltan fechas",IF(Acciones!$H616="","",IF(AND(Acciones!$H616&gt;=TODAY(),ISBLANK(Acciones!$J616)=TRUE),"En tiempo",IF(AND(Acciones!$H616&lt;TODAY(),Acciones!$J616=""),"Retrasado",IF(Acciones!$J616&gt;Acciones!$H616,"Cerrado con retraso","Cerrado")))))</f>
        <v/>
      </c>
      <c r="L616" s="61"/>
      <c r="M616" s="74"/>
      <c r="T616" s="26"/>
      <c r="U616" s="26"/>
    </row>
    <row r="617" spans="2:21" x14ac:dyDescent="0.3">
      <c r="B617" s="53"/>
      <c r="C617" s="65"/>
      <c r="D617" s="61"/>
      <c r="E617" s="56"/>
      <c r="F617" s="53"/>
      <c r="G617" s="53" t="str">
        <f>IF(ISBLANK(Acciones!$H617)=TRUE," ",WEEKNUM(Acciones!$H617,21))</f>
        <v xml:space="preserve"> </v>
      </c>
      <c r="H617" s="53"/>
      <c r="I617" s="66"/>
      <c r="J617" s="53"/>
      <c r="K617" s="48" t="str">
        <f ca="1">IF(AND(ISBLANK(Acciones!$D617)=FALSE,ISBLANK(Acciones!$H617)=TRUE),"Faltan fechas",IF(Acciones!$H617="","",IF(AND(Acciones!$H617&gt;=TODAY(),ISBLANK(Acciones!$J617)=TRUE),"En tiempo",IF(AND(Acciones!$H617&lt;TODAY(),Acciones!$J617=""),"Retrasado",IF(Acciones!$J617&gt;Acciones!$H617,"Cerrado con retraso","Cerrado")))))</f>
        <v/>
      </c>
      <c r="L617" s="61"/>
      <c r="M617" s="74"/>
      <c r="T617" s="26"/>
      <c r="U617" s="26"/>
    </row>
    <row r="618" spans="2:21" x14ac:dyDescent="0.3">
      <c r="B618" s="53"/>
      <c r="C618" s="65"/>
      <c r="D618" s="61"/>
      <c r="E618" s="56"/>
      <c r="F618" s="53"/>
      <c r="G618" s="53" t="str">
        <f>IF(ISBLANK(Acciones!$H618)=TRUE," ",WEEKNUM(Acciones!$H618,21))</f>
        <v xml:space="preserve"> </v>
      </c>
      <c r="H618" s="53"/>
      <c r="I618" s="66"/>
      <c r="J618" s="53"/>
      <c r="K618" s="48" t="str">
        <f ca="1">IF(AND(ISBLANK(Acciones!$D618)=FALSE,ISBLANK(Acciones!$H618)=TRUE),"Faltan fechas",IF(Acciones!$H618="","",IF(AND(Acciones!$H618&gt;=TODAY(),ISBLANK(Acciones!$J618)=TRUE),"En tiempo",IF(AND(Acciones!$H618&lt;TODAY(),Acciones!$J618=""),"Retrasado",IF(Acciones!$J618&gt;Acciones!$H618,"Cerrado con retraso","Cerrado")))))</f>
        <v/>
      </c>
      <c r="L618" s="61"/>
      <c r="M618" s="74"/>
      <c r="T618" s="26"/>
      <c r="U618" s="26"/>
    </row>
    <row r="619" spans="2:21" x14ac:dyDescent="0.3">
      <c r="B619" s="53"/>
      <c r="C619" s="65"/>
      <c r="D619" s="61"/>
      <c r="E619" s="56"/>
      <c r="F619" s="53"/>
      <c r="G619" s="53" t="str">
        <f>IF(ISBLANK(Acciones!$H619)=TRUE," ",WEEKNUM(Acciones!$H619,21))</f>
        <v xml:space="preserve"> </v>
      </c>
      <c r="H619" s="53"/>
      <c r="I619" s="66"/>
      <c r="J619" s="53"/>
      <c r="K619" s="48" t="str">
        <f ca="1">IF(AND(ISBLANK(Acciones!$D619)=FALSE,ISBLANK(Acciones!$H619)=TRUE),"Faltan fechas",IF(Acciones!$H619="","",IF(AND(Acciones!$H619&gt;=TODAY(),ISBLANK(Acciones!$J619)=TRUE),"En tiempo",IF(AND(Acciones!$H619&lt;TODAY(),Acciones!$J619=""),"Retrasado",IF(Acciones!$J619&gt;Acciones!$H619,"Cerrado con retraso","Cerrado")))))</f>
        <v/>
      </c>
      <c r="L619" s="61"/>
      <c r="M619" s="74"/>
      <c r="T619" s="26"/>
      <c r="U619" s="26"/>
    </row>
    <row r="620" spans="2:21" x14ac:dyDescent="0.3">
      <c r="B620" s="53"/>
      <c r="C620" s="65"/>
      <c r="D620" s="61"/>
      <c r="E620" s="56"/>
      <c r="F620" s="53"/>
      <c r="G620" s="53" t="str">
        <f>IF(ISBLANK(Acciones!$H620)=TRUE," ",WEEKNUM(Acciones!$H620,21))</f>
        <v xml:space="preserve"> </v>
      </c>
      <c r="H620" s="53"/>
      <c r="I620" s="66"/>
      <c r="J620" s="53"/>
      <c r="K620" s="48" t="str">
        <f ca="1">IF(AND(ISBLANK(Acciones!$D620)=FALSE,ISBLANK(Acciones!$H620)=TRUE),"Faltan fechas",IF(Acciones!$H620="","",IF(AND(Acciones!$H620&gt;=TODAY(),ISBLANK(Acciones!$J620)=TRUE),"En tiempo",IF(AND(Acciones!$H620&lt;TODAY(),Acciones!$J620=""),"Retrasado",IF(Acciones!$J620&gt;Acciones!$H620,"Cerrado con retraso","Cerrado")))))</f>
        <v/>
      </c>
      <c r="L620" s="61"/>
      <c r="M620" s="74"/>
      <c r="T620" s="26"/>
      <c r="U620" s="26"/>
    </row>
    <row r="621" spans="2:21" x14ac:dyDescent="0.3">
      <c r="B621" s="53"/>
      <c r="C621" s="65"/>
      <c r="D621" s="61"/>
      <c r="E621" s="56"/>
      <c r="F621" s="53"/>
      <c r="G621" s="53" t="str">
        <f>IF(ISBLANK(Acciones!$H621)=TRUE," ",WEEKNUM(Acciones!$H621,21))</f>
        <v xml:space="preserve"> </v>
      </c>
      <c r="H621" s="53"/>
      <c r="I621" s="66"/>
      <c r="J621" s="53"/>
      <c r="K621" s="48" t="str">
        <f ca="1">IF(AND(ISBLANK(Acciones!$D621)=FALSE,ISBLANK(Acciones!$H621)=TRUE),"Faltan fechas",IF(Acciones!$H621="","",IF(AND(Acciones!$H621&gt;=TODAY(),ISBLANK(Acciones!$J621)=TRUE),"En tiempo",IF(AND(Acciones!$H621&lt;TODAY(),Acciones!$J621=""),"Retrasado",IF(Acciones!$J621&gt;Acciones!$H621,"Cerrado con retraso","Cerrado")))))</f>
        <v/>
      </c>
      <c r="L621" s="61"/>
      <c r="M621" s="74"/>
      <c r="T621" s="26"/>
      <c r="U621" s="26"/>
    </row>
    <row r="622" spans="2:21" x14ac:dyDescent="0.3">
      <c r="B622" s="53"/>
      <c r="C622" s="65"/>
      <c r="D622" s="61"/>
      <c r="E622" s="56"/>
      <c r="F622" s="53"/>
      <c r="G622" s="53" t="str">
        <f>IF(ISBLANK(Acciones!$H622)=TRUE," ",WEEKNUM(Acciones!$H622,21))</f>
        <v xml:space="preserve"> </v>
      </c>
      <c r="H622" s="53"/>
      <c r="I622" s="66"/>
      <c r="J622" s="53"/>
      <c r="K622" s="48" t="str">
        <f ca="1">IF(AND(ISBLANK(Acciones!$D622)=FALSE,ISBLANK(Acciones!$H622)=TRUE),"Faltan fechas",IF(Acciones!$H622="","",IF(AND(Acciones!$H622&gt;=TODAY(),ISBLANK(Acciones!$J622)=TRUE),"En tiempo",IF(AND(Acciones!$H622&lt;TODAY(),Acciones!$J622=""),"Retrasado",IF(Acciones!$J622&gt;Acciones!$H622,"Cerrado con retraso","Cerrado")))))</f>
        <v/>
      </c>
      <c r="L622" s="61"/>
      <c r="M622" s="74"/>
      <c r="T622" s="26"/>
      <c r="U622" s="26"/>
    </row>
    <row r="623" spans="2:21" x14ac:dyDescent="0.3">
      <c r="B623" s="53"/>
      <c r="C623" s="65"/>
      <c r="D623" s="61"/>
      <c r="E623" s="56"/>
      <c r="F623" s="53"/>
      <c r="G623" s="53" t="str">
        <f>IF(ISBLANK(Acciones!$H623)=TRUE," ",WEEKNUM(Acciones!$H623,21))</f>
        <v xml:space="preserve"> </v>
      </c>
      <c r="H623" s="53"/>
      <c r="I623" s="66"/>
      <c r="J623" s="53"/>
      <c r="K623" s="48" t="str">
        <f ca="1">IF(AND(ISBLANK(Acciones!$D623)=FALSE,ISBLANK(Acciones!$H623)=TRUE),"Faltan fechas",IF(Acciones!$H623="","",IF(AND(Acciones!$H623&gt;=TODAY(),ISBLANK(Acciones!$J623)=TRUE),"En tiempo",IF(AND(Acciones!$H623&lt;TODAY(),Acciones!$J623=""),"Retrasado",IF(Acciones!$J623&gt;Acciones!$H623,"Cerrado con retraso","Cerrado")))))</f>
        <v/>
      </c>
      <c r="L623" s="61"/>
      <c r="M623" s="74"/>
      <c r="T623" s="26"/>
      <c r="U623" s="26"/>
    </row>
    <row r="624" spans="2:21" x14ac:dyDescent="0.3">
      <c r="B624" s="53"/>
      <c r="C624" s="65"/>
      <c r="D624" s="61"/>
      <c r="E624" s="56"/>
      <c r="F624" s="53"/>
      <c r="G624" s="53" t="str">
        <f>IF(ISBLANK(Acciones!$H624)=TRUE," ",WEEKNUM(Acciones!$H624,21))</f>
        <v xml:space="preserve"> </v>
      </c>
      <c r="H624" s="53"/>
      <c r="I624" s="66"/>
      <c r="J624" s="53"/>
      <c r="K624" s="48" t="str">
        <f ca="1">IF(AND(ISBLANK(Acciones!$D624)=FALSE,ISBLANK(Acciones!$H624)=TRUE),"Faltan fechas",IF(Acciones!$H624="","",IF(AND(Acciones!$H624&gt;=TODAY(),ISBLANK(Acciones!$J624)=TRUE),"En tiempo",IF(AND(Acciones!$H624&lt;TODAY(),Acciones!$J624=""),"Retrasado",IF(Acciones!$J624&gt;Acciones!$H624,"Cerrado con retraso","Cerrado")))))</f>
        <v/>
      </c>
      <c r="L624" s="61"/>
      <c r="M624" s="74"/>
      <c r="T624" s="26"/>
      <c r="U624" s="26"/>
    </row>
    <row r="625" spans="2:21" x14ac:dyDescent="0.3">
      <c r="B625" s="53"/>
      <c r="C625" s="65"/>
      <c r="D625" s="61"/>
      <c r="E625" s="56"/>
      <c r="F625" s="53"/>
      <c r="G625" s="53" t="str">
        <f>IF(ISBLANK(Acciones!$H625)=TRUE," ",WEEKNUM(Acciones!$H625,21))</f>
        <v xml:space="preserve"> </v>
      </c>
      <c r="H625" s="53"/>
      <c r="I625" s="66"/>
      <c r="J625" s="53"/>
      <c r="K625" s="48" t="str">
        <f ca="1">IF(AND(ISBLANK(Acciones!$D625)=FALSE,ISBLANK(Acciones!$H625)=TRUE),"Faltan fechas",IF(Acciones!$H625="","",IF(AND(Acciones!$H625&gt;=TODAY(),ISBLANK(Acciones!$J625)=TRUE),"En tiempo",IF(AND(Acciones!$H625&lt;TODAY(),Acciones!$J625=""),"Retrasado",IF(Acciones!$J625&gt;Acciones!$H625,"Cerrado con retraso","Cerrado")))))</f>
        <v/>
      </c>
      <c r="L625" s="61"/>
      <c r="M625" s="74"/>
      <c r="T625" s="26"/>
      <c r="U625" s="26"/>
    </row>
    <row r="626" spans="2:21" x14ac:dyDescent="0.3">
      <c r="B626" s="53"/>
      <c r="C626" s="65"/>
      <c r="D626" s="61"/>
      <c r="E626" s="56"/>
      <c r="F626" s="53"/>
      <c r="G626" s="53" t="str">
        <f>IF(ISBLANK(Acciones!$H626)=TRUE," ",WEEKNUM(Acciones!$H626,21))</f>
        <v xml:space="preserve"> </v>
      </c>
      <c r="H626" s="53"/>
      <c r="I626" s="66"/>
      <c r="J626" s="53"/>
      <c r="K626" s="48" t="str">
        <f ca="1">IF(AND(ISBLANK(Acciones!$D626)=FALSE,ISBLANK(Acciones!$H626)=TRUE),"Faltan fechas",IF(Acciones!$H626="","",IF(AND(Acciones!$H626&gt;=TODAY(),ISBLANK(Acciones!$J626)=TRUE),"En tiempo",IF(AND(Acciones!$H626&lt;TODAY(),Acciones!$J626=""),"Retrasado",IF(Acciones!$J626&gt;Acciones!$H626,"Cerrado con retraso","Cerrado")))))</f>
        <v/>
      </c>
      <c r="L626" s="61"/>
      <c r="M626" s="74"/>
      <c r="T626" s="26"/>
      <c r="U626" s="26"/>
    </row>
    <row r="627" spans="2:21" x14ac:dyDescent="0.3">
      <c r="B627" s="53"/>
      <c r="C627" s="65"/>
      <c r="D627" s="61"/>
      <c r="E627" s="56"/>
      <c r="F627" s="53"/>
      <c r="G627" s="53" t="str">
        <f>IF(ISBLANK(Acciones!$H627)=TRUE," ",WEEKNUM(Acciones!$H627,21))</f>
        <v xml:space="preserve"> </v>
      </c>
      <c r="H627" s="53"/>
      <c r="I627" s="66"/>
      <c r="J627" s="53"/>
      <c r="K627" s="48" t="str">
        <f ca="1">IF(AND(ISBLANK(Acciones!$D627)=FALSE,ISBLANK(Acciones!$H627)=TRUE),"Faltan fechas",IF(Acciones!$H627="","",IF(AND(Acciones!$H627&gt;=TODAY(),ISBLANK(Acciones!$J627)=TRUE),"En tiempo",IF(AND(Acciones!$H627&lt;TODAY(),Acciones!$J627=""),"Retrasado",IF(Acciones!$J627&gt;Acciones!$H627,"Cerrado con retraso","Cerrado")))))</f>
        <v/>
      </c>
      <c r="L627" s="61"/>
      <c r="M627" s="74"/>
      <c r="T627" s="26"/>
      <c r="U627" s="26"/>
    </row>
    <row r="628" spans="2:21" x14ac:dyDescent="0.3">
      <c r="B628" s="53"/>
      <c r="C628" s="65"/>
      <c r="D628" s="61"/>
      <c r="E628" s="56"/>
      <c r="F628" s="53"/>
      <c r="G628" s="53" t="str">
        <f>IF(ISBLANK(Acciones!$H628)=TRUE," ",WEEKNUM(Acciones!$H628,21))</f>
        <v xml:space="preserve"> </v>
      </c>
      <c r="H628" s="53"/>
      <c r="I628" s="66"/>
      <c r="J628" s="53"/>
      <c r="K628" s="48" t="str">
        <f ca="1">IF(AND(ISBLANK(Acciones!$D628)=FALSE,ISBLANK(Acciones!$H628)=TRUE),"Faltan fechas",IF(Acciones!$H628="","",IF(AND(Acciones!$H628&gt;=TODAY(),ISBLANK(Acciones!$J628)=TRUE),"En tiempo",IF(AND(Acciones!$H628&lt;TODAY(),Acciones!$J628=""),"Retrasado",IF(Acciones!$J628&gt;Acciones!$H628,"Cerrado con retraso","Cerrado")))))</f>
        <v/>
      </c>
      <c r="L628" s="61"/>
      <c r="M628" s="74"/>
      <c r="T628" s="26"/>
      <c r="U628" s="26"/>
    </row>
    <row r="629" spans="2:21" x14ac:dyDescent="0.3">
      <c r="B629" s="53"/>
      <c r="C629" s="65"/>
      <c r="D629" s="61"/>
      <c r="E629" s="56"/>
      <c r="F629" s="53"/>
      <c r="G629" s="53" t="str">
        <f>IF(ISBLANK(Acciones!$H629)=TRUE," ",WEEKNUM(Acciones!$H629,21))</f>
        <v xml:space="preserve"> </v>
      </c>
      <c r="H629" s="53"/>
      <c r="I629" s="66"/>
      <c r="J629" s="53"/>
      <c r="K629" s="48" t="str">
        <f ca="1">IF(AND(ISBLANK(Acciones!$D629)=FALSE,ISBLANK(Acciones!$H629)=TRUE),"Faltan fechas",IF(Acciones!$H629="","",IF(AND(Acciones!$H629&gt;=TODAY(),ISBLANK(Acciones!$J629)=TRUE),"En tiempo",IF(AND(Acciones!$H629&lt;TODAY(),Acciones!$J629=""),"Retrasado",IF(Acciones!$J629&gt;Acciones!$H629,"Cerrado con retraso","Cerrado")))))</f>
        <v/>
      </c>
      <c r="L629" s="61"/>
      <c r="M629" s="74"/>
      <c r="T629" s="26"/>
      <c r="U629" s="26"/>
    </row>
    <row r="630" spans="2:21" x14ac:dyDescent="0.3">
      <c r="B630" s="53"/>
      <c r="C630" s="65"/>
      <c r="D630" s="61"/>
      <c r="E630" s="56"/>
      <c r="F630" s="53"/>
      <c r="G630" s="53" t="str">
        <f>IF(ISBLANK(Acciones!$H630)=TRUE," ",WEEKNUM(Acciones!$H630,21))</f>
        <v xml:space="preserve"> </v>
      </c>
      <c r="H630" s="53"/>
      <c r="I630" s="66"/>
      <c r="J630" s="53"/>
      <c r="K630" s="48" t="str">
        <f ca="1">IF(AND(ISBLANK(Acciones!$D630)=FALSE,ISBLANK(Acciones!$H630)=TRUE),"Faltan fechas",IF(Acciones!$H630="","",IF(AND(Acciones!$H630&gt;=TODAY(),ISBLANK(Acciones!$J630)=TRUE),"En tiempo",IF(AND(Acciones!$H630&lt;TODAY(),Acciones!$J630=""),"Retrasado",IF(Acciones!$J630&gt;Acciones!$H630,"Cerrado con retraso","Cerrado")))))</f>
        <v/>
      </c>
      <c r="L630" s="61"/>
      <c r="M630" s="74"/>
      <c r="T630" s="26"/>
      <c r="U630" s="26"/>
    </row>
    <row r="631" spans="2:21" x14ac:dyDescent="0.3">
      <c r="B631" s="53"/>
      <c r="C631" s="65"/>
      <c r="D631" s="61"/>
      <c r="E631" s="56"/>
      <c r="F631" s="53"/>
      <c r="G631" s="53" t="str">
        <f>IF(ISBLANK(Acciones!$H631)=TRUE," ",WEEKNUM(Acciones!$H631,21))</f>
        <v xml:space="preserve"> </v>
      </c>
      <c r="H631" s="53"/>
      <c r="I631" s="66"/>
      <c r="J631" s="53"/>
      <c r="K631" s="48" t="str">
        <f ca="1">IF(AND(ISBLANK(Acciones!$D631)=FALSE,ISBLANK(Acciones!$H631)=TRUE),"Faltan fechas",IF(Acciones!$H631="","",IF(AND(Acciones!$H631&gt;=TODAY(),ISBLANK(Acciones!$J631)=TRUE),"En tiempo",IF(AND(Acciones!$H631&lt;TODAY(),Acciones!$J631=""),"Retrasado",IF(Acciones!$J631&gt;Acciones!$H631,"Cerrado con retraso","Cerrado")))))</f>
        <v/>
      </c>
      <c r="L631" s="61"/>
      <c r="M631" s="74"/>
      <c r="T631" s="26"/>
      <c r="U631" s="26"/>
    </row>
    <row r="632" spans="2:21" x14ac:dyDescent="0.3">
      <c r="B632" s="53"/>
      <c r="C632" s="65"/>
      <c r="D632" s="61"/>
      <c r="E632" s="56"/>
      <c r="F632" s="53"/>
      <c r="G632" s="53" t="str">
        <f>IF(ISBLANK(Acciones!$H632)=TRUE," ",WEEKNUM(Acciones!$H632,21))</f>
        <v xml:space="preserve"> </v>
      </c>
      <c r="H632" s="53"/>
      <c r="I632" s="66"/>
      <c r="J632" s="53"/>
      <c r="K632" s="48" t="str">
        <f ca="1">IF(AND(ISBLANK(Acciones!$D632)=FALSE,ISBLANK(Acciones!$H632)=TRUE),"Faltan fechas",IF(Acciones!$H632="","",IF(AND(Acciones!$H632&gt;=TODAY(),ISBLANK(Acciones!$J632)=TRUE),"En tiempo",IF(AND(Acciones!$H632&lt;TODAY(),Acciones!$J632=""),"Retrasado",IF(Acciones!$J632&gt;Acciones!$H632,"Cerrado con retraso","Cerrado")))))</f>
        <v/>
      </c>
      <c r="L632" s="61"/>
      <c r="M632" s="74"/>
      <c r="T632" s="26"/>
      <c r="U632" s="26"/>
    </row>
    <row r="633" spans="2:21" x14ac:dyDescent="0.3">
      <c r="B633" s="53"/>
      <c r="C633" s="65"/>
      <c r="D633" s="61"/>
      <c r="E633" s="56"/>
      <c r="F633" s="53"/>
      <c r="G633" s="53" t="str">
        <f>IF(ISBLANK(Acciones!$H633)=TRUE," ",WEEKNUM(Acciones!$H633,21))</f>
        <v xml:space="preserve"> </v>
      </c>
      <c r="H633" s="53"/>
      <c r="I633" s="66"/>
      <c r="J633" s="53"/>
      <c r="K633" s="48" t="str">
        <f ca="1">IF(AND(ISBLANK(Acciones!$D633)=FALSE,ISBLANK(Acciones!$H633)=TRUE),"Faltan fechas",IF(Acciones!$H633="","",IF(AND(Acciones!$H633&gt;=TODAY(),ISBLANK(Acciones!$J633)=TRUE),"En tiempo",IF(AND(Acciones!$H633&lt;TODAY(),Acciones!$J633=""),"Retrasado",IF(Acciones!$J633&gt;Acciones!$H633,"Cerrado con retraso","Cerrado")))))</f>
        <v/>
      </c>
      <c r="L633" s="61"/>
      <c r="M633" s="74"/>
      <c r="T633" s="26"/>
      <c r="U633" s="26"/>
    </row>
    <row r="634" spans="2:21" x14ac:dyDescent="0.3">
      <c r="B634" s="53"/>
      <c r="C634" s="65"/>
      <c r="D634" s="61"/>
      <c r="E634" s="56"/>
      <c r="F634" s="53"/>
      <c r="G634" s="53" t="str">
        <f>IF(ISBLANK(Acciones!$H634)=TRUE," ",WEEKNUM(Acciones!$H634,21))</f>
        <v xml:space="preserve"> </v>
      </c>
      <c r="H634" s="53"/>
      <c r="I634" s="66"/>
      <c r="J634" s="53"/>
      <c r="K634" s="48" t="str">
        <f ca="1">IF(AND(ISBLANK(Acciones!$D634)=FALSE,ISBLANK(Acciones!$H634)=TRUE),"Faltan fechas",IF(Acciones!$H634="","",IF(AND(Acciones!$H634&gt;=TODAY(),ISBLANK(Acciones!$J634)=TRUE),"En tiempo",IF(AND(Acciones!$H634&lt;TODAY(),Acciones!$J634=""),"Retrasado",IF(Acciones!$J634&gt;Acciones!$H634,"Cerrado con retraso","Cerrado")))))</f>
        <v/>
      </c>
      <c r="L634" s="61"/>
      <c r="M634" s="74"/>
      <c r="T634" s="26"/>
      <c r="U634" s="26"/>
    </row>
    <row r="635" spans="2:21" x14ac:dyDescent="0.3">
      <c r="B635" s="53"/>
      <c r="C635" s="65"/>
      <c r="D635" s="61"/>
      <c r="E635" s="56"/>
      <c r="F635" s="53"/>
      <c r="G635" s="53" t="str">
        <f>IF(ISBLANK(Acciones!$H635)=TRUE," ",WEEKNUM(Acciones!$H635,21))</f>
        <v xml:space="preserve"> </v>
      </c>
      <c r="H635" s="53"/>
      <c r="I635" s="66"/>
      <c r="J635" s="53"/>
      <c r="K635" s="48" t="str">
        <f ca="1">IF(AND(ISBLANK(Acciones!$D635)=FALSE,ISBLANK(Acciones!$H635)=TRUE),"Faltan fechas",IF(Acciones!$H635="","",IF(AND(Acciones!$H635&gt;=TODAY(),ISBLANK(Acciones!$J635)=TRUE),"En tiempo",IF(AND(Acciones!$H635&lt;TODAY(),Acciones!$J635=""),"Retrasado",IF(Acciones!$J635&gt;Acciones!$H635,"Cerrado con retraso","Cerrado")))))</f>
        <v/>
      </c>
      <c r="L635" s="61"/>
      <c r="M635" s="74"/>
      <c r="T635" s="26"/>
      <c r="U635" s="26"/>
    </row>
    <row r="636" spans="2:21" x14ac:dyDescent="0.3">
      <c r="B636" s="53"/>
      <c r="C636" s="65"/>
      <c r="D636" s="61"/>
      <c r="E636" s="56"/>
      <c r="F636" s="53"/>
      <c r="G636" s="53" t="str">
        <f>IF(ISBLANK(Acciones!$H636)=TRUE," ",WEEKNUM(Acciones!$H636,21))</f>
        <v xml:space="preserve"> </v>
      </c>
      <c r="H636" s="53"/>
      <c r="I636" s="66"/>
      <c r="J636" s="53"/>
      <c r="K636" s="48" t="str">
        <f ca="1">IF(AND(ISBLANK(Acciones!$D636)=FALSE,ISBLANK(Acciones!$H636)=TRUE),"Faltan fechas",IF(Acciones!$H636="","",IF(AND(Acciones!$H636&gt;=TODAY(),ISBLANK(Acciones!$J636)=TRUE),"En tiempo",IF(AND(Acciones!$H636&lt;TODAY(),Acciones!$J636=""),"Retrasado",IF(Acciones!$J636&gt;Acciones!$H636,"Cerrado con retraso","Cerrado")))))</f>
        <v/>
      </c>
      <c r="L636" s="61"/>
      <c r="M636" s="74"/>
      <c r="T636" s="26"/>
      <c r="U636" s="26"/>
    </row>
    <row r="637" spans="2:21" x14ac:dyDescent="0.3">
      <c r="B637" s="53"/>
      <c r="C637" s="65"/>
      <c r="D637" s="61"/>
      <c r="E637" s="56"/>
      <c r="F637" s="53"/>
      <c r="G637" s="53" t="str">
        <f>IF(ISBLANK(Acciones!$H637)=TRUE," ",WEEKNUM(Acciones!$H637,21))</f>
        <v xml:space="preserve"> </v>
      </c>
      <c r="H637" s="53"/>
      <c r="I637" s="66"/>
      <c r="J637" s="53"/>
      <c r="K637" s="48" t="str">
        <f ca="1">IF(AND(ISBLANK(Acciones!$D637)=FALSE,ISBLANK(Acciones!$H637)=TRUE),"Faltan fechas",IF(Acciones!$H637="","",IF(AND(Acciones!$H637&gt;=TODAY(),ISBLANK(Acciones!$J637)=TRUE),"En tiempo",IF(AND(Acciones!$H637&lt;TODAY(),Acciones!$J637=""),"Retrasado",IF(Acciones!$J637&gt;Acciones!$H637,"Cerrado con retraso","Cerrado")))))</f>
        <v/>
      </c>
      <c r="L637" s="61"/>
      <c r="M637" s="74"/>
      <c r="T637" s="26"/>
      <c r="U637" s="26"/>
    </row>
    <row r="638" spans="2:21" x14ac:dyDescent="0.3">
      <c r="B638" s="53"/>
      <c r="C638" s="65"/>
      <c r="D638" s="61"/>
      <c r="E638" s="56"/>
      <c r="F638" s="53"/>
      <c r="G638" s="53" t="str">
        <f>IF(ISBLANK(Acciones!$H638)=TRUE," ",WEEKNUM(Acciones!$H638,21))</f>
        <v xml:space="preserve"> </v>
      </c>
      <c r="H638" s="53"/>
      <c r="I638" s="66"/>
      <c r="J638" s="53"/>
      <c r="K638" s="48" t="str">
        <f ca="1">IF(AND(ISBLANK(Acciones!$D638)=FALSE,ISBLANK(Acciones!$H638)=TRUE),"Faltan fechas",IF(Acciones!$H638="","",IF(AND(Acciones!$H638&gt;=TODAY(),ISBLANK(Acciones!$J638)=TRUE),"En tiempo",IF(AND(Acciones!$H638&lt;TODAY(),Acciones!$J638=""),"Retrasado",IF(Acciones!$J638&gt;Acciones!$H638,"Cerrado con retraso","Cerrado")))))</f>
        <v/>
      </c>
      <c r="L638" s="61"/>
      <c r="M638" s="74"/>
      <c r="T638" s="26"/>
      <c r="U638" s="26"/>
    </row>
    <row r="639" spans="2:21" x14ac:dyDescent="0.3">
      <c r="B639" s="53"/>
      <c r="C639" s="65"/>
      <c r="D639" s="61"/>
      <c r="E639" s="56"/>
      <c r="F639" s="53"/>
      <c r="G639" s="53" t="str">
        <f>IF(ISBLANK(Acciones!$H639)=TRUE," ",WEEKNUM(Acciones!$H639,21))</f>
        <v xml:space="preserve"> </v>
      </c>
      <c r="H639" s="53"/>
      <c r="I639" s="66"/>
      <c r="J639" s="53"/>
      <c r="K639" s="48" t="str">
        <f ca="1">IF(AND(ISBLANK(Acciones!$D639)=FALSE,ISBLANK(Acciones!$H639)=TRUE),"Faltan fechas",IF(Acciones!$H639="","",IF(AND(Acciones!$H639&gt;=TODAY(),ISBLANK(Acciones!$J639)=TRUE),"En tiempo",IF(AND(Acciones!$H639&lt;TODAY(),Acciones!$J639=""),"Retrasado",IF(Acciones!$J639&gt;Acciones!$H639,"Cerrado con retraso","Cerrado")))))</f>
        <v/>
      </c>
      <c r="L639" s="61"/>
      <c r="M639" s="74"/>
      <c r="T639" s="26"/>
      <c r="U639" s="26"/>
    </row>
    <row r="640" spans="2:21" x14ac:dyDescent="0.3">
      <c r="B640" s="53"/>
      <c r="C640" s="65"/>
      <c r="D640" s="61"/>
      <c r="E640" s="56"/>
      <c r="F640" s="53"/>
      <c r="G640" s="53" t="str">
        <f>IF(ISBLANK(Acciones!$H640)=TRUE," ",WEEKNUM(Acciones!$H640,21))</f>
        <v xml:space="preserve"> </v>
      </c>
      <c r="H640" s="53"/>
      <c r="I640" s="66"/>
      <c r="J640" s="53"/>
      <c r="K640" s="48" t="str">
        <f ca="1">IF(AND(ISBLANK(Acciones!$D640)=FALSE,ISBLANK(Acciones!$H640)=TRUE),"Faltan fechas",IF(Acciones!$H640="","",IF(AND(Acciones!$H640&gt;=TODAY(),ISBLANK(Acciones!$J640)=TRUE),"En tiempo",IF(AND(Acciones!$H640&lt;TODAY(),Acciones!$J640=""),"Retrasado",IF(Acciones!$J640&gt;Acciones!$H640,"Cerrado con retraso","Cerrado")))))</f>
        <v/>
      </c>
      <c r="L640" s="61"/>
      <c r="M640" s="74"/>
      <c r="T640" s="26"/>
      <c r="U640" s="26"/>
    </row>
    <row r="641" spans="2:21" x14ac:dyDescent="0.3">
      <c r="B641" s="53"/>
      <c r="C641" s="65"/>
      <c r="D641" s="61"/>
      <c r="E641" s="56"/>
      <c r="F641" s="53"/>
      <c r="G641" s="53" t="str">
        <f>IF(ISBLANK(Acciones!$H641)=TRUE," ",WEEKNUM(Acciones!$H641,21))</f>
        <v xml:space="preserve"> </v>
      </c>
      <c r="H641" s="53"/>
      <c r="I641" s="66"/>
      <c r="J641" s="53"/>
      <c r="K641" s="48" t="str">
        <f ca="1">IF(AND(ISBLANK(Acciones!$D641)=FALSE,ISBLANK(Acciones!$H641)=TRUE),"Faltan fechas",IF(Acciones!$H641="","",IF(AND(Acciones!$H641&gt;=TODAY(),ISBLANK(Acciones!$J641)=TRUE),"En tiempo",IF(AND(Acciones!$H641&lt;TODAY(),Acciones!$J641=""),"Retrasado",IF(Acciones!$J641&gt;Acciones!$H641,"Cerrado con retraso","Cerrado")))))</f>
        <v/>
      </c>
      <c r="L641" s="61"/>
      <c r="M641" s="74"/>
      <c r="T641" s="26"/>
      <c r="U641" s="26"/>
    </row>
    <row r="642" spans="2:21" x14ac:dyDescent="0.3">
      <c r="B642" s="53"/>
      <c r="C642" s="65"/>
      <c r="D642" s="61"/>
      <c r="E642" s="56"/>
      <c r="F642" s="53"/>
      <c r="G642" s="53" t="str">
        <f>IF(ISBLANK(Acciones!$H642)=TRUE," ",WEEKNUM(Acciones!$H642,21))</f>
        <v xml:space="preserve"> </v>
      </c>
      <c r="H642" s="53"/>
      <c r="I642" s="66"/>
      <c r="J642" s="53"/>
      <c r="K642" s="48" t="str">
        <f ca="1">IF(AND(ISBLANK(Acciones!$D642)=FALSE,ISBLANK(Acciones!$H642)=TRUE),"Faltan fechas",IF(Acciones!$H642="","",IF(AND(Acciones!$H642&gt;=TODAY(),ISBLANK(Acciones!$J642)=TRUE),"En tiempo",IF(AND(Acciones!$H642&lt;TODAY(),Acciones!$J642=""),"Retrasado",IF(Acciones!$J642&gt;Acciones!$H642,"Cerrado con retraso","Cerrado")))))</f>
        <v/>
      </c>
      <c r="L642" s="61"/>
      <c r="M642" s="74"/>
      <c r="T642" s="26"/>
      <c r="U642" s="26"/>
    </row>
    <row r="643" spans="2:21" x14ac:dyDescent="0.3">
      <c r="B643" s="53"/>
      <c r="C643" s="65"/>
      <c r="D643" s="61"/>
      <c r="E643" s="56"/>
      <c r="F643" s="53"/>
      <c r="G643" s="53" t="str">
        <f>IF(ISBLANK(Acciones!$H643)=TRUE," ",WEEKNUM(Acciones!$H643,21))</f>
        <v xml:space="preserve"> </v>
      </c>
      <c r="H643" s="53"/>
      <c r="I643" s="66"/>
      <c r="J643" s="53"/>
      <c r="K643" s="48" t="str">
        <f ca="1">IF(AND(ISBLANK(Acciones!$D643)=FALSE,ISBLANK(Acciones!$H643)=TRUE),"Faltan fechas",IF(Acciones!$H643="","",IF(AND(Acciones!$H643&gt;=TODAY(),ISBLANK(Acciones!$J643)=TRUE),"En tiempo",IF(AND(Acciones!$H643&lt;TODAY(),Acciones!$J643=""),"Retrasado",IF(Acciones!$J643&gt;Acciones!$H643,"Cerrado con retraso","Cerrado")))))</f>
        <v/>
      </c>
      <c r="L643" s="61"/>
      <c r="M643" s="74"/>
      <c r="T643" s="26"/>
      <c r="U643" s="26"/>
    </row>
    <row r="644" spans="2:21" x14ac:dyDescent="0.3">
      <c r="B644" s="53"/>
      <c r="C644" s="65"/>
      <c r="D644" s="61"/>
      <c r="E644" s="56"/>
      <c r="F644" s="53"/>
      <c r="G644" s="53" t="str">
        <f>IF(ISBLANK(Acciones!$H644)=TRUE," ",WEEKNUM(Acciones!$H644,21))</f>
        <v xml:space="preserve"> </v>
      </c>
      <c r="H644" s="53"/>
      <c r="I644" s="66"/>
      <c r="J644" s="53"/>
      <c r="K644" s="48" t="str">
        <f ca="1">IF(AND(ISBLANK(Acciones!$D644)=FALSE,ISBLANK(Acciones!$H644)=TRUE),"Faltan fechas",IF(Acciones!$H644="","",IF(AND(Acciones!$H644&gt;=TODAY(),ISBLANK(Acciones!$J644)=TRUE),"En tiempo",IF(AND(Acciones!$H644&lt;TODAY(),Acciones!$J644=""),"Retrasado",IF(Acciones!$J644&gt;Acciones!$H644,"Cerrado con retraso","Cerrado")))))</f>
        <v/>
      </c>
      <c r="L644" s="61"/>
      <c r="M644" s="74"/>
      <c r="T644" s="26"/>
      <c r="U644" s="26"/>
    </row>
    <row r="645" spans="2:21" x14ac:dyDescent="0.3">
      <c r="B645" s="53"/>
      <c r="C645" s="65"/>
      <c r="D645" s="61"/>
      <c r="E645" s="56"/>
      <c r="F645" s="53"/>
      <c r="G645" s="53" t="str">
        <f>IF(ISBLANK(Acciones!$H645)=TRUE," ",WEEKNUM(Acciones!$H645,21))</f>
        <v xml:space="preserve"> </v>
      </c>
      <c r="H645" s="53"/>
      <c r="I645" s="66"/>
      <c r="J645" s="53"/>
      <c r="K645" s="48" t="str">
        <f ca="1">IF(AND(ISBLANK(Acciones!$D645)=FALSE,ISBLANK(Acciones!$H645)=TRUE),"Faltan fechas",IF(Acciones!$H645="","",IF(AND(Acciones!$H645&gt;=TODAY(),ISBLANK(Acciones!$J645)=TRUE),"En tiempo",IF(AND(Acciones!$H645&lt;TODAY(),Acciones!$J645=""),"Retrasado",IF(Acciones!$J645&gt;Acciones!$H645,"Cerrado con retraso","Cerrado")))))</f>
        <v/>
      </c>
      <c r="L645" s="61"/>
      <c r="M645" s="74"/>
      <c r="T645" s="26"/>
      <c r="U645" s="26"/>
    </row>
    <row r="646" spans="2:21" x14ac:dyDescent="0.3">
      <c r="B646" s="53"/>
      <c r="C646" s="65"/>
      <c r="D646" s="61"/>
      <c r="E646" s="56"/>
      <c r="F646" s="53"/>
      <c r="G646" s="53" t="str">
        <f>IF(ISBLANK(Acciones!$H646)=TRUE," ",WEEKNUM(Acciones!$H646,21))</f>
        <v xml:space="preserve"> </v>
      </c>
      <c r="H646" s="53"/>
      <c r="I646" s="66"/>
      <c r="J646" s="53"/>
      <c r="K646" s="48" t="str">
        <f ca="1">IF(AND(ISBLANK(Acciones!$D646)=FALSE,ISBLANK(Acciones!$H646)=TRUE),"Faltan fechas",IF(Acciones!$H646="","",IF(AND(Acciones!$H646&gt;=TODAY(),ISBLANK(Acciones!$J646)=TRUE),"En tiempo",IF(AND(Acciones!$H646&lt;TODAY(),Acciones!$J646=""),"Retrasado",IF(Acciones!$J646&gt;Acciones!$H646,"Cerrado con retraso","Cerrado")))))</f>
        <v/>
      </c>
      <c r="L646" s="61"/>
      <c r="M646" s="74"/>
      <c r="T646" s="26"/>
      <c r="U646" s="26"/>
    </row>
    <row r="647" spans="2:21" x14ac:dyDescent="0.3">
      <c r="B647" s="53"/>
      <c r="C647" s="65"/>
      <c r="D647" s="61"/>
      <c r="E647" s="56"/>
      <c r="F647" s="53"/>
      <c r="G647" s="53" t="str">
        <f>IF(ISBLANK(Acciones!$H647)=TRUE," ",WEEKNUM(Acciones!$H647,21))</f>
        <v xml:space="preserve"> </v>
      </c>
      <c r="H647" s="53"/>
      <c r="I647" s="66"/>
      <c r="J647" s="53"/>
      <c r="K647" s="48" t="str">
        <f ca="1">IF(AND(ISBLANK(Acciones!$D647)=FALSE,ISBLANK(Acciones!$H647)=TRUE),"Faltan fechas",IF(Acciones!$H647="","",IF(AND(Acciones!$H647&gt;=TODAY(),ISBLANK(Acciones!$J647)=TRUE),"En tiempo",IF(AND(Acciones!$H647&lt;TODAY(),Acciones!$J647=""),"Retrasado",IF(Acciones!$J647&gt;Acciones!$H647,"Cerrado con retraso","Cerrado")))))</f>
        <v/>
      </c>
      <c r="L647" s="61"/>
      <c r="M647" s="74"/>
      <c r="T647" s="26"/>
      <c r="U647" s="26"/>
    </row>
    <row r="648" spans="2:21" x14ac:dyDescent="0.3">
      <c r="B648" s="53"/>
      <c r="C648" s="65"/>
      <c r="D648" s="61"/>
      <c r="E648" s="56"/>
      <c r="F648" s="53"/>
      <c r="G648" s="53" t="str">
        <f>IF(ISBLANK(Acciones!$H648)=TRUE," ",WEEKNUM(Acciones!$H648,21))</f>
        <v xml:space="preserve"> </v>
      </c>
      <c r="H648" s="53"/>
      <c r="I648" s="66"/>
      <c r="J648" s="53"/>
      <c r="K648" s="48" t="str">
        <f ca="1">IF(AND(ISBLANK(Acciones!$D648)=FALSE,ISBLANK(Acciones!$H648)=TRUE),"Faltan fechas",IF(Acciones!$H648="","",IF(AND(Acciones!$H648&gt;=TODAY(),ISBLANK(Acciones!$J648)=TRUE),"En tiempo",IF(AND(Acciones!$H648&lt;TODAY(),Acciones!$J648=""),"Retrasado",IF(Acciones!$J648&gt;Acciones!$H648,"Cerrado con retraso","Cerrado")))))</f>
        <v/>
      </c>
      <c r="L648" s="61"/>
      <c r="M648" s="74"/>
      <c r="T648" s="26"/>
      <c r="U648" s="26"/>
    </row>
    <row r="649" spans="2:21" x14ac:dyDescent="0.3">
      <c r="B649" s="53"/>
      <c r="C649" s="65"/>
      <c r="D649" s="61"/>
      <c r="E649" s="56"/>
      <c r="F649" s="53"/>
      <c r="G649" s="53" t="str">
        <f>IF(ISBLANK(Acciones!$H649)=TRUE," ",WEEKNUM(Acciones!$H649,21))</f>
        <v xml:space="preserve"> </v>
      </c>
      <c r="H649" s="53"/>
      <c r="I649" s="66"/>
      <c r="J649" s="53"/>
      <c r="K649" s="48" t="str">
        <f ca="1">IF(AND(ISBLANK(Acciones!$D649)=FALSE,ISBLANK(Acciones!$H649)=TRUE),"Faltan fechas",IF(Acciones!$H649="","",IF(AND(Acciones!$H649&gt;=TODAY(),ISBLANK(Acciones!$J649)=TRUE),"En tiempo",IF(AND(Acciones!$H649&lt;TODAY(),Acciones!$J649=""),"Retrasado",IF(Acciones!$J649&gt;Acciones!$H649,"Cerrado con retraso","Cerrado")))))</f>
        <v/>
      </c>
      <c r="L649" s="61"/>
      <c r="M649" s="74"/>
      <c r="T649" s="26"/>
      <c r="U649" s="26"/>
    </row>
    <row r="650" spans="2:21" x14ac:dyDescent="0.3">
      <c r="B650" s="53"/>
      <c r="C650" s="65"/>
      <c r="D650" s="61"/>
      <c r="E650" s="56"/>
      <c r="F650" s="53"/>
      <c r="G650" s="53" t="str">
        <f>IF(ISBLANK(Acciones!$H650)=TRUE," ",WEEKNUM(Acciones!$H650,21))</f>
        <v xml:space="preserve"> </v>
      </c>
      <c r="H650" s="53"/>
      <c r="I650" s="66"/>
      <c r="J650" s="53"/>
      <c r="K650" s="48" t="str">
        <f ca="1">IF(AND(ISBLANK(Acciones!$D650)=FALSE,ISBLANK(Acciones!$H650)=TRUE),"Faltan fechas",IF(Acciones!$H650="","",IF(AND(Acciones!$H650&gt;=TODAY(),ISBLANK(Acciones!$J650)=TRUE),"En tiempo",IF(AND(Acciones!$H650&lt;TODAY(),Acciones!$J650=""),"Retrasado",IF(Acciones!$J650&gt;Acciones!$H650,"Cerrado con retraso","Cerrado")))))</f>
        <v/>
      </c>
      <c r="L650" s="61"/>
      <c r="M650" s="74"/>
      <c r="T650" s="26"/>
      <c r="U650" s="26"/>
    </row>
    <row r="651" spans="2:21" x14ac:dyDescent="0.3">
      <c r="B651" s="53"/>
      <c r="C651" s="65"/>
      <c r="D651" s="61"/>
      <c r="E651" s="56"/>
      <c r="F651" s="53"/>
      <c r="G651" s="53" t="str">
        <f>IF(ISBLANK(Acciones!$H651)=TRUE," ",WEEKNUM(Acciones!$H651,21))</f>
        <v xml:space="preserve"> </v>
      </c>
      <c r="H651" s="53"/>
      <c r="I651" s="66"/>
      <c r="J651" s="53"/>
      <c r="K651" s="48" t="str">
        <f ca="1">IF(AND(ISBLANK(Acciones!$D651)=FALSE,ISBLANK(Acciones!$H651)=TRUE),"Faltan fechas",IF(Acciones!$H651="","",IF(AND(Acciones!$H651&gt;=TODAY(),ISBLANK(Acciones!$J651)=TRUE),"En tiempo",IF(AND(Acciones!$H651&lt;TODAY(),Acciones!$J651=""),"Retrasado",IF(Acciones!$J651&gt;Acciones!$H651,"Cerrado con retraso","Cerrado")))))</f>
        <v/>
      </c>
      <c r="L651" s="61"/>
      <c r="M651" s="74"/>
      <c r="T651" s="26"/>
      <c r="U651" s="26"/>
    </row>
    <row r="652" spans="2:21" x14ac:dyDescent="0.3">
      <c r="B652" s="53"/>
      <c r="C652" s="65"/>
      <c r="D652" s="61"/>
      <c r="E652" s="56"/>
      <c r="F652" s="53"/>
      <c r="G652" s="53" t="str">
        <f>IF(ISBLANK(Acciones!$H652)=TRUE," ",WEEKNUM(Acciones!$H652,21))</f>
        <v xml:space="preserve"> </v>
      </c>
      <c r="H652" s="53"/>
      <c r="I652" s="66"/>
      <c r="J652" s="53"/>
      <c r="K652" s="48" t="str">
        <f ca="1">IF(AND(ISBLANK(Acciones!$D652)=FALSE,ISBLANK(Acciones!$H652)=TRUE),"Faltan fechas",IF(Acciones!$H652="","",IF(AND(Acciones!$H652&gt;=TODAY(),ISBLANK(Acciones!$J652)=TRUE),"En tiempo",IF(AND(Acciones!$H652&lt;TODAY(),Acciones!$J652=""),"Retrasado",IF(Acciones!$J652&gt;Acciones!$H652,"Cerrado con retraso","Cerrado")))))</f>
        <v/>
      </c>
      <c r="L652" s="61"/>
      <c r="M652" s="74"/>
      <c r="T652" s="26"/>
      <c r="U652" s="26"/>
    </row>
    <row r="653" spans="2:21" x14ac:dyDescent="0.3">
      <c r="B653" s="53"/>
      <c r="C653" s="65"/>
      <c r="D653" s="61"/>
      <c r="E653" s="56"/>
      <c r="F653" s="53"/>
      <c r="G653" s="53" t="str">
        <f>IF(ISBLANK(Acciones!$H653)=TRUE," ",WEEKNUM(Acciones!$H653,21))</f>
        <v xml:space="preserve"> </v>
      </c>
      <c r="H653" s="53"/>
      <c r="I653" s="66"/>
      <c r="J653" s="53"/>
      <c r="K653" s="48" t="str">
        <f ca="1">IF(AND(ISBLANK(Acciones!$D653)=FALSE,ISBLANK(Acciones!$H653)=TRUE),"Faltan fechas",IF(Acciones!$H653="","",IF(AND(Acciones!$H653&gt;=TODAY(),ISBLANK(Acciones!$J653)=TRUE),"En tiempo",IF(AND(Acciones!$H653&lt;TODAY(),Acciones!$J653=""),"Retrasado",IF(Acciones!$J653&gt;Acciones!$H653,"Cerrado con retraso","Cerrado")))))</f>
        <v/>
      </c>
      <c r="L653" s="61"/>
      <c r="M653" s="74"/>
      <c r="T653" s="26"/>
      <c r="U653" s="26"/>
    </row>
    <row r="654" spans="2:21" x14ac:dyDescent="0.3">
      <c r="B654" s="53"/>
      <c r="C654" s="65"/>
      <c r="D654" s="61"/>
      <c r="E654" s="56"/>
      <c r="F654" s="53"/>
      <c r="G654" s="53" t="str">
        <f>IF(ISBLANK(Acciones!$H654)=TRUE," ",WEEKNUM(Acciones!$H654,21))</f>
        <v xml:space="preserve"> </v>
      </c>
      <c r="H654" s="53"/>
      <c r="I654" s="66"/>
      <c r="J654" s="53"/>
      <c r="K654" s="48" t="str">
        <f ca="1">IF(AND(ISBLANK(Acciones!$D654)=FALSE,ISBLANK(Acciones!$H654)=TRUE),"Faltan fechas",IF(Acciones!$H654="","",IF(AND(Acciones!$H654&gt;=TODAY(),ISBLANK(Acciones!$J654)=TRUE),"En tiempo",IF(AND(Acciones!$H654&lt;TODAY(),Acciones!$J654=""),"Retrasado",IF(Acciones!$J654&gt;Acciones!$H654,"Cerrado con retraso","Cerrado")))))</f>
        <v/>
      </c>
      <c r="L654" s="61"/>
      <c r="M654" s="74"/>
      <c r="T654" s="26"/>
      <c r="U654" s="26"/>
    </row>
    <row r="655" spans="2:21" x14ac:dyDescent="0.3">
      <c r="B655" s="53"/>
      <c r="C655" s="65"/>
      <c r="D655" s="61"/>
      <c r="E655" s="56"/>
      <c r="F655" s="53"/>
      <c r="G655" s="53" t="str">
        <f>IF(ISBLANK(Acciones!$H655)=TRUE," ",WEEKNUM(Acciones!$H655,21))</f>
        <v xml:space="preserve"> </v>
      </c>
      <c r="H655" s="53"/>
      <c r="I655" s="66"/>
      <c r="J655" s="53"/>
      <c r="K655" s="48" t="str">
        <f ca="1">IF(AND(ISBLANK(Acciones!$D655)=FALSE,ISBLANK(Acciones!$H655)=TRUE),"Faltan fechas",IF(Acciones!$H655="","",IF(AND(Acciones!$H655&gt;=TODAY(),ISBLANK(Acciones!$J655)=TRUE),"En tiempo",IF(AND(Acciones!$H655&lt;TODAY(),Acciones!$J655=""),"Retrasado",IF(Acciones!$J655&gt;Acciones!$H655,"Cerrado con retraso","Cerrado")))))</f>
        <v/>
      </c>
      <c r="L655" s="61"/>
      <c r="M655" s="74"/>
      <c r="T655" s="26"/>
      <c r="U655" s="26"/>
    </row>
    <row r="656" spans="2:21" x14ac:dyDescent="0.3">
      <c r="B656" s="53"/>
      <c r="C656" s="65"/>
      <c r="D656" s="61"/>
      <c r="E656" s="56"/>
      <c r="F656" s="53"/>
      <c r="G656" s="53" t="str">
        <f>IF(ISBLANK(Acciones!$H656)=TRUE," ",WEEKNUM(Acciones!$H656,21))</f>
        <v xml:space="preserve"> </v>
      </c>
      <c r="H656" s="53"/>
      <c r="I656" s="66"/>
      <c r="J656" s="53"/>
      <c r="K656" s="48" t="str">
        <f ca="1">IF(AND(ISBLANK(Acciones!$D656)=FALSE,ISBLANK(Acciones!$H656)=TRUE),"Faltan fechas",IF(Acciones!$H656="","",IF(AND(Acciones!$H656&gt;=TODAY(),ISBLANK(Acciones!$J656)=TRUE),"En tiempo",IF(AND(Acciones!$H656&lt;TODAY(),Acciones!$J656=""),"Retrasado",IF(Acciones!$J656&gt;Acciones!$H656,"Cerrado con retraso","Cerrado")))))</f>
        <v/>
      </c>
      <c r="L656" s="61"/>
      <c r="M656" s="74"/>
      <c r="T656" s="26"/>
      <c r="U656" s="26"/>
    </row>
    <row r="657" spans="2:21" x14ac:dyDescent="0.3">
      <c r="B657" s="53"/>
      <c r="C657" s="65"/>
      <c r="D657" s="61"/>
      <c r="E657" s="56"/>
      <c r="F657" s="53"/>
      <c r="G657" s="53" t="str">
        <f>IF(ISBLANK(Acciones!$H657)=TRUE," ",WEEKNUM(Acciones!$H657,21))</f>
        <v xml:space="preserve"> </v>
      </c>
      <c r="H657" s="53"/>
      <c r="I657" s="66"/>
      <c r="J657" s="53"/>
      <c r="K657" s="48" t="str">
        <f ca="1">IF(AND(ISBLANK(Acciones!$D657)=FALSE,ISBLANK(Acciones!$H657)=TRUE),"Faltan fechas",IF(Acciones!$H657="","",IF(AND(Acciones!$H657&gt;=TODAY(),ISBLANK(Acciones!$J657)=TRUE),"En tiempo",IF(AND(Acciones!$H657&lt;TODAY(),Acciones!$J657=""),"Retrasado",IF(Acciones!$J657&gt;Acciones!$H657,"Cerrado con retraso","Cerrado")))))</f>
        <v/>
      </c>
      <c r="L657" s="61"/>
      <c r="M657" s="74"/>
      <c r="T657" s="26"/>
      <c r="U657" s="26"/>
    </row>
    <row r="658" spans="2:21" x14ac:dyDescent="0.3">
      <c r="B658" s="53"/>
      <c r="C658" s="65"/>
      <c r="D658" s="61"/>
      <c r="E658" s="56"/>
      <c r="F658" s="53"/>
      <c r="G658" s="53" t="str">
        <f>IF(ISBLANK(Acciones!$H658)=TRUE," ",WEEKNUM(Acciones!$H658,21))</f>
        <v xml:space="preserve"> </v>
      </c>
      <c r="H658" s="53"/>
      <c r="I658" s="66"/>
      <c r="J658" s="53"/>
      <c r="K658" s="48" t="str">
        <f ca="1">IF(AND(ISBLANK(Acciones!$D658)=FALSE,ISBLANK(Acciones!$H658)=TRUE),"Faltan fechas",IF(Acciones!$H658="","",IF(AND(Acciones!$H658&gt;=TODAY(),ISBLANK(Acciones!$J658)=TRUE),"En tiempo",IF(AND(Acciones!$H658&lt;TODAY(),Acciones!$J658=""),"Retrasado",IF(Acciones!$J658&gt;Acciones!$H658,"Cerrado con retraso","Cerrado")))))</f>
        <v/>
      </c>
      <c r="L658" s="61"/>
      <c r="M658" s="74"/>
      <c r="T658" s="26"/>
      <c r="U658" s="26"/>
    </row>
    <row r="659" spans="2:21" x14ac:dyDescent="0.3">
      <c r="B659" s="53"/>
      <c r="C659" s="65"/>
      <c r="D659" s="61"/>
      <c r="E659" s="56"/>
      <c r="F659" s="53"/>
      <c r="G659" s="53" t="str">
        <f>IF(ISBLANK(Acciones!$H659)=TRUE," ",WEEKNUM(Acciones!$H659,21))</f>
        <v xml:space="preserve"> </v>
      </c>
      <c r="H659" s="53"/>
      <c r="I659" s="66"/>
      <c r="J659" s="53"/>
      <c r="K659" s="48" t="str">
        <f ca="1">IF(AND(ISBLANK(Acciones!$D659)=FALSE,ISBLANK(Acciones!$H659)=TRUE),"Faltan fechas",IF(Acciones!$H659="","",IF(AND(Acciones!$H659&gt;=TODAY(),ISBLANK(Acciones!$J659)=TRUE),"En tiempo",IF(AND(Acciones!$H659&lt;TODAY(),Acciones!$J659=""),"Retrasado",IF(Acciones!$J659&gt;Acciones!$H659,"Cerrado con retraso","Cerrado")))))</f>
        <v/>
      </c>
      <c r="L659" s="61"/>
      <c r="M659" s="74"/>
      <c r="T659" s="26"/>
      <c r="U659" s="26"/>
    </row>
    <row r="660" spans="2:21" x14ac:dyDescent="0.3">
      <c r="B660" s="53"/>
      <c r="C660" s="65"/>
      <c r="D660" s="61"/>
      <c r="E660" s="56"/>
      <c r="F660" s="53"/>
      <c r="G660" s="53" t="str">
        <f>IF(ISBLANK(Acciones!$H660)=TRUE," ",WEEKNUM(Acciones!$H660,21))</f>
        <v xml:space="preserve"> </v>
      </c>
      <c r="H660" s="53"/>
      <c r="I660" s="66"/>
      <c r="J660" s="53"/>
      <c r="K660" s="48" t="str">
        <f ca="1">IF(AND(ISBLANK(Acciones!$D660)=FALSE,ISBLANK(Acciones!$H660)=TRUE),"Faltan fechas",IF(Acciones!$H660="","",IF(AND(Acciones!$H660&gt;=TODAY(),ISBLANK(Acciones!$J660)=TRUE),"En tiempo",IF(AND(Acciones!$H660&lt;TODAY(),Acciones!$J660=""),"Retrasado",IF(Acciones!$J660&gt;Acciones!$H660,"Cerrado con retraso","Cerrado")))))</f>
        <v/>
      </c>
      <c r="L660" s="61"/>
      <c r="M660" s="74"/>
      <c r="T660" s="26"/>
      <c r="U660" s="26"/>
    </row>
    <row r="661" spans="2:21" x14ac:dyDescent="0.3">
      <c r="B661" s="53"/>
      <c r="C661" s="65"/>
      <c r="D661" s="61"/>
      <c r="E661" s="56"/>
      <c r="F661" s="53"/>
      <c r="G661" s="53" t="str">
        <f>IF(ISBLANK(Acciones!$H661)=TRUE," ",WEEKNUM(Acciones!$H661,21))</f>
        <v xml:space="preserve"> </v>
      </c>
      <c r="H661" s="53"/>
      <c r="I661" s="66"/>
      <c r="J661" s="53"/>
      <c r="K661" s="48" t="str">
        <f ca="1">IF(AND(ISBLANK(Acciones!$D661)=FALSE,ISBLANK(Acciones!$H661)=TRUE),"Faltan fechas",IF(Acciones!$H661="","",IF(AND(Acciones!$H661&gt;=TODAY(),ISBLANK(Acciones!$J661)=TRUE),"En tiempo",IF(AND(Acciones!$H661&lt;TODAY(),Acciones!$J661=""),"Retrasado",IF(Acciones!$J661&gt;Acciones!$H661,"Cerrado con retraso","Cerrado")))))</f>
        <v/>
      </c>
      <c r="L661" s="61"/>
      <c r="M661" s="74"/>
      <c r="T661" s="26"/>
      <c r="U661" s="26"/>
    </row>
    <row r="662" spans="2:21" x14ac:dyDescent="0.3">
      <c r="B662" s="53"/>
      <c r="C662" s="65"/>
      <c r="D662" s="61"/>
      <c r="E662" s="56"/>
      <c r="F662" s="53"/>
      <c r="G662" s="53" t="str">
        <f>IF(ISBLANK(Acciones!$H662)=TRUE," ",WEEKNUM(Acciones!$H662,21))</f>
        <v xml:space="preserve"> </v>
      </c>
      <c r="H662" s="53"/>
      <c r="I662" s="66"/>
      <c r="J662" s="53"/>
      <c r="K662" s="48" t="str">
        <f ca="1">IF(AND(ISBLANK(Acciones!$D662)=FALSE,ISBLANK(Acciones!$H662)=TRUE),"Faltan fechas",IF(Acciones!$H662="","",IF(AND(Acciones!$H662&gt;=TODAY(),ISBLANK(Acciones!$J662)=TRUE),"En tiempo",IF(AND(Acciones!$H662&lt;TODAY(),Acciones!$J662=""),"Retrasado",IF(Acciones!$J662&gt;Acciones!$H662,"Cerrado con retraso","Cerrado")))))</f>
        <v/>
      </c>
      <c r="L662" s="61"/>
      <c r="M662" s="74"/>
      <c r="T662" s="26"/>
      <c r="U662" s="26"/>
    </row>
    <row r="663" spans="2:21" x14ac:dyDescent="0.3">
      <c r="B663" s="53"/>
      <c r="C663" s="65"/>
      <c r="D663" s="61"/>
      <c r="E663" s="56"/>
      <c r="F663" s="53"/>
      <c r="G663" s="53" t="str">
        <f>IF(ISBLANK(Acciones!$H663)=TRUE," ",WEEKNUM(Acciones!$H663,21))</f>
        <v xml:space="preserve"> </v>
      </c>
      <c r="H663" s="53"/>
      <c r="I663" s="66"/>
      <c r="J663" s="53"/>
      <c r="K663" s="48" t="str">
        <f ca="1">IF(AND(ISBLANK(Acciones!$D663)=FALSE,ISBLANK(Acciones!$H663)=TRUE),"Faltan fechas",IF(Acciones!$H663="","",IF(AND(Acciones!$H663&gt;=TODAY(),ISBLANK(Acciones!$J663)=TRUE),"En tiempo",IF(AND(Acciones!$H663&lt;TODAY(),Acciones!$J663=""),"Retrasado",IF(Acciones!$J663&gt;Acciones!$H663,"Cerrado con retraso","Cerrado")))))</f>
        <v/>
      </c>
      <c r="L663" s="61"/>
      <c r="M663" s="74"/>
      <c r="T663" s="26"/>
      <c r="U663" s="26"/>
    </row>
    <row r="664" spans="2:21" x14ac:dyDescent="0.3">
      <c r="B664" s="53"/>
      <c r="C664" s="65"/>
      <c r="D664" s="61"/>
      <c r="E664" s="56"/>
      <c r="F664" s="53"/>
      <c r="G664" s="53" t="str">
        <f>IF(ISBLANK(Acciones!$H664)=TRUE," ",WEEKNUM(Acciones!$H664,21))</f>
        <v xml:space="preserve"> </v>
      </c>
      <c r="H664" s="53"/>
      <c r="I664" s="66"/>
      <c r="J664" s="53"/>
      <c r="K664" s="48" t="str">
        <f ca="1">IF(AND(ISBLANK(Acciones!$D664)=FALSE,ISBLANK(Acciones!$H664)=TRUE),"Faltan fechas",IF(Acciones!$H664="","",IF(AND(Acciones!$H664&gt;=TODAY(),ISBLANK(Acciones!$J664)=TRUE),"En tiempo",IF(AND(Acciones!$H664&lt;TODAY(),Acciones!$J664=""),"Retrasado",IF(Acciones!$J664&gt;Acciones!$H664,"Cerrado con retraso","Cerrado")))))</f>
        <v/>
      </c>
      <c r="L664" s="61"/>
      <c r="M664" s="74"/>
      <c r="T664" s="26"/>
      <c r="U664" s="26"/>
    </row>
    <row r="665" spans="2:21" x14ac:dyDescent="0.3">
      <c r="B665" s="53"/>
      <c r="C665" s="65"/>
      <c r="D665" s="61"/>
      <c r="E665" s="56"/>
      <c r="F665" s="53"/>
      <c r="G665" s="53" t="str">
        <f>IF(ISBLANK(Acciones!$H665)=TRUE," ",WEEKNUM(Acciones!$H665,21))</f>
        <v xml:space="preserve"> </v>
      </c>
      <c r="H665" s="53"/>
      <c r="I665" s="66"/>
      <c r="J665" s="53"/>
      <c r="K665" s="48" t="str">
        <f ca="1">IF(AND(ISBLANK(Acciones!$D665)=FALSE,ISBLANK(Acciones!$H665)=TRUE),"Faltan fechas",IF(Acciones!$H665="","",IF(AND(Acciones!$H665&gt;=TODAY(),ISBLANK(Acciones!$J665)=TRUE),"En tiempo",IF(AND(Acciones!$H665&lt;TODAY(),Acciones!$J665=""),"Retrasado",IF(Acciones!$J665&gt;Acciones!$H665,"Cerrado con retraso","Cerrado")))))</f>
        <v/>
      </c>
      <c r="L665" s="61"/>
      <c r="M665" s="74"/>
      <c r="T665" s="26"/>
      <c r="U665" s="26"/>
    </row>
    <row r="666" spans="2:21" x14ac:dyDescent="0.3">
      <c r="B666" s="53"/>
      <c r="C666" s="65"/>
      <c r="D666" s="61"/>
      <c r="E666" s="56"/>
      <c r="F666" s="53"/>
      <c r="G666" s="53" t="str">
        <f>IF(ISBLANK(Acciones!$H666)=TRUE," ",WEEKNUM(Acciones!$H666,21))</f>
        <v xml:space="preserve"> </v>
      </c>
      <c r="H666" s="53"/>
      <c r="I666" s="66"/>
      <c r="J666" s="53"/>
      <c r="K666" s="48" t="str">
        <f ca="1">IF(AND(ISBLANK(Acciones!$D666)=FALSE,ISBLANK(Acciones!$H666)=TRUE),"Faltan fechas",IF(Acciones!$H666="","",IF(AND(Acciones!$H666&gt;=TODAY(),ISBLANK(Acciones!$J666)=TRUE),"En tiempo",IF(AND(Acciones!$H666&lt;TODAY(),Acciones!$J666=""),"Retrasado",IF(Acciones!$J666&gt;Acciones!$H666,"Cerrado con retraso","Cerrado")))))</f>
        <v/>
      </c>
      <c r="L666" s="61"/>
      <c r="M666" s="74"/>
      <c r="T666" s="26"/>
      <c r="U666" s="26"/>
    </row>
    <row r="667" spans="2:21" x14ac:dyDescent="0.3">
      <c r="B667" s="53"/>
      <c r="C667" s="65"/>
      <c r="D667" s="61"/>
      <c r="E667" s="56"/>
      <c r="F667" s="53"/>
      <c r="G667" s="53" t="str">
        <f>IF(ISBLANK(Acciones!$H667)=TRUE," ",WEEKNUM(Acciones!$H667,21))</f>
        <v xml:space="preserve"> </v>
      </c>
      <c r="H667" s="53"/>
      <c r="I667" s="66"/>
      <c r="J667" s="53"/>
      <c r="K667" s="48" t="str">
        <f ca="1">IF(AND(ISBLANK(Acciones!$D667)=FALSE,ISBLANK(Acciones!$H667)=TRUE),"Faltan fechas",IF(Acciones!$H667="","",IF(AND(Acciones!$H667&gt;=TODAY(),ISBLANK(Acciones!$J667)=TRUE),"En tiempo",IF(AND(Acciones!$H667&lt;TODAY(),Acciones!$J667=""),"Retrasado",IF(Acciones!$J667&gt;Acciones!$H667,"Cerrado con retraso","Cerrado")))))</f>
        <v/>
      </c>
      <c r="L667" s="61"/>
      <c r="M667" s="74"/>
      <c r="T667" s="26"/>
      <c r="U667" s="26"/>
    </row>
    <row r="668" spans="2:21" x14ac:dyDescent="0.3">
      <c r="B668" s="53"/>
      <c r="C668" s="65"/>
      <c r="D668" s="61"/>
      <c r="E668" s="56"/>
      <c r="F668" s="53"/>
      <c r="G668" s="53" t="str">
        <f>IF(ISBLANK(Acciones!$H668)=TRUE," ",WEEKNUM(Acciones!$H668,21))</f>
        <v xml:space="preserve"> </v>
      </c>
      <c r="H668" s="53"/>
      <c r="I668" s="66"/>
      <c r="J668" s="53"/>
      <c r="K668" s="48" t="str">
        <f ca="1">IF(AND(ISBLANK(Acciones!$D668)=FALSE,ISBLANK(Acciones!$H668)=TRUE),"Faltan fechas",IF(Acciones!$H668="","",IF(AND(Acciones!$H668&gt;=TODAY(),ISBLANK(Acciones!$J668)=TRUE),"En tiempo",IF(AND(Acciones!$H668&lt;TODAY(),Acciones!$J668=""),"Retrasado",IF(Acciones!$J668&gt;Acciones!$H668,"Cerrado con retraso","Cerrado")))))</f>
        <v/>
      </c>
      <c r="L668" s="61"/>
      <c r="M668" s="74"/>
      <c r="T668" s="26"/>
      <c r="U668" s="26"/>
    </row>
    <row r="669" spans="2:21" x14ac:dyDescent="0.3">
      <c r="B669" s="53"/>
      <c r="C669" s="65"/>
      <c r="D669" s="61"/>
      <c r="E669" s="56"/>
      <c r="F669" s="53"/>
      <c r="G669" s="53" t="str">
        <f>IF(ISBLANK(Acciones!$H669)=TRUE," ",WEEKNUM(Acciones!$H669,21))</f>
        <v xml:space="preserve"> </v>
      </c>
      <c r="H669" s="53"/>
      <c r="I669" s="66"/>
      <c r="J669" s="53"/>
      <c r="K669" s="48" t="str">
        <f ca="1">IF(AND(ISBLANK(Acciones!$D669)=FALSE,ISBLANK(Acciones!$H669)=TRUE),"Faltan fechas",IF(Acciones!$H669="","",IF(AND(Acciones!$H669&gt;=TODAY(),ISBLANK(Acciones!$J669)=TRUE),"En tiempo",IF(AND(Acciones!$H669&lt;TODAY(),Acciones!$J669=""),"Retrasado",IF(Acciones!$J669&gt;Acciones!$H669,"Cerrado con retraso","Cerrado")))))</f>
        <v/>
      </c>
      <c r="L669" s="61"/>
      <c r="M669" s="74"/>
      <c r="T669" s="26"/>
      <c r="U669" s="26"/>
    </row>
    <row r="670" spans="2:21" x14ac:dyDescent="0.3">
      <c r="B670" s="53"/>
      <c r="C670" s="65"/>
      <c r="D670" s="61"/>
      <c r="E670" s="56"/>
      <c r="F670" s="53"/>
      <c r="G670" s="53" t="str">
        <f>IF(ISBLANK(Acciones!$H670)=TRUE," ",WEEKNUM(Acciones!$H670,21))</f>
        <v xml:space="preserve"> </v>
      </c>
      <c r="H670" s="53"/>
      <c r="I670" s="66"/>
      <c r="J670" s="53"/>
      <c r="K670" s="48" t="str">
        <f ca="1">IF(AND(ISBLANK(Acciones!$D670)=FALSE,ISBLANK(Acciones!$H670)=TRUE),"Faltan fechas",IF(Acciones!$H670="","",IF(AND(Acciones!$H670&gt;=TODAY(),ISBLANK(Acciones!$J670)=TRUE),"En tiempo",IF(AND(Acciones!$H670&lt;TODAY(),Acciones!$J670=""),"Retrasado",IF(Acciones!$J670&gt;Acciones!$H670,"Cerrado con retraso","Cerrado")))))</f>
        <v/>
      </c>
      <c r="L670" s="61"/>
      <c r="M670" s="74"/>
      <c r="T670" s="26"/>
      <c r="U670" s="26"/>
    </row>
    <row r="671" spans="2:21" x14ac:dyDescent="0.3">
      <c r="B671" s="53"/>
      <c r="C671" s="65"/>
      <c r="D671" s="61"/>
      <c r="E671" s="56"/>
      <c r="F671" s="53"/>
      <c r="G671" s="53" t="str">
        <f>IF(ISBLANK(Acciones!$H671)=TRUE," ",WEEKNUM(Acciones!$H671,21))</f>
        <v xml:space="preserve"> </v>
      </c>
      <c r="H671" s="53"/>
      <c r="I671" s="66"/>
      <c r="J671" s="53"/>
      <c r="K671" s="48" t="str">
        <f ca="1">IF(AND(ISBLANK(Acciones!$D671)=FALSE,ISBLANK(Acciones!$H671)=TRUE),"Faltan fechas",IF(Acciones!$H671="","",IF(AND(Acciones!$H671&gt;=TODAY(),ISBLANK(Acciones!$J671)=TRUE),"En tiempo",IF(AND(Acciones!$H671&lt;TODAY(),Acciones!$J671=""),"Retrasado",IF(Acciones!$J671&gt;Acciones!$H671,"Cerrado con retraso","Cerrado")))))</f>
        <v/>
      </c>
      <c r="L671" s="61"/>
      <c r="M671" s="74"/>
      <c r="T671" s="26"/>
      <c r="U671" s="26"/>
    </row>
    <row r="672" spans="2:21" x14ac:dyDescent="0.3">
      <c r="B672" s="53"/>
      <c r="C672" s="65"/>
      <c r="D672" s="61"/>
      <c r="E672" s="56"/>
      <c r="F672" s="53"/>
      <c r="G672" s="53" t="str">
        <f>IF(ISBLANK(Acciones!$H672)=TRUE," ",WEEKNUM(Acciones!$H672,21))</f>
        <v xml:space="preserve"> </v>
      </c>
      <c r="H672" s="53"/>
      <c r="I672" s="66"/>
      <c r="J672" s="53"/>
      <c r="K672" s="48" t="str">
        <f ca="1">IF(AND(ISBLANK(Acciones!$D672)=FALSE,ISBLANK(Acciones!$H672)=TRUE),"Faltan fechas",IF(Acciones!$H672="","",IF(AND(Acciones!$H672&gt;=TODAY(),ISBLANK(Acciones!$J672)=TRUE),"En tiempo",IF(AND(Acciones!$H672&lt;TODAY(),Acciones!$J672=""),"Retrasado",IF(Acciones!$J672&gt;Acciones!$H672,"Cerrado con retraso","Cerrado")))))</f>
        <v/>
      </c>
      <c r="L672" s="61"/>
      <c r="M672" s="74"/>
      <c r="T672" s="26"/>
      <c r="U672" s="26"/>
    </row>
    <row r="673" spans="2:21" x14ac:dyDescent="0.3">
      <c r="B673" s="53"/>
      <c r="C673" s="65"/>
      <c r="D673" s="61"/>
      <c r="E673" s="56"/>
      <c r="F673" s="53"/>
      <c r="G673" s="53" t="str">
        <f>IF(ISBLANK(Acciones!$H673)=TRUE," ",WEEKNUM(Acciones!$H673,21))</f>
        <v xml:space="preserve"> </v>
      </c>
      <c r="H673" s="53"/>
      <c r="I673" s="66"/>
      <c r="J673" s="53"/>
      <c r="K673" s="48" t="str">
        <f ca="1">IF(AND(ISBLANK(Acciones!$D673)=FALSE,ISBLANK(Acciones!$H673)=TRUE),"Faltan fechas",IF(Acciones!$H673="","",IF(AND(Acciones!$H673&gt;=TODAY(),ISBLANK(Acciones!$J673)=TRUE),"En tiempo",IF(AND(Acciones!$H673&lt;TODAY(),Acciones!$J673=""),"Retrasado",IF(Acciones!$J673&gt;Acciones!$H673,"Cerrado con retraso","Cerrado")))))</f>
        <v/>
      </c>
      <c r="L673" s="61"/>
      <c r="M673" s="74"/>
      <c r="T673" s="26"/>
      <c r="U673" s="26"/>
    </row>
    <row r="674" spans="2:21" x14ac:dyDescent="0.3">
      <c r="B674" s="53"/>
      <c r="C674" s="65"/>
      <c r="D674" s="61"/>
      <c r="E674" s="56"/>
      <c r="F674" s="53"/>
      <c r="G674" s="53" t="str">
        <f>IF(ISBLANK(Acciones!$H674)=TRUE," ",WEEKNUM(Acciones!$H674,21))</f>
        <v xml:space="preserve"> </v>
      </c>
      <c r="H674" s="53"/>
      <c r="I674" s="66"/>
      <c r="J674" s="53"/>
      <c r="K674" s="48" t="str">
        <f ca="1">IF(AND(ISBLANK(Acciones!$D674)=FALSE,ISBLANK(Acciones!$H674)=TRUE),"Faltan fechas",IF(Acciones!$H674="","",IF(AND(Acciones!$H674&gt;=TODAY(),ISBLANK(Acciones!$J674)=TRUE),"En tiempo",IF(AND(Acciones!$H674&lt;TODAY(),Acciones!$J674=""),"Retrasado",IF(Acciones!$J674&gt;Acciones!$H674,"Cerrado con retraso","Cerrado")))))</f>
        <v/>
      </c>
      <c r="L674" s="61"/>
      <c r="M674" s="74"/>
      <c r="T674" s="26"/>
      <c r="U674" s="26"/>
    </row>
    <row r="675" spans="2:21" x14ac:dyDescent="0.3">
      <c r="B675" s="53"/>
      <c r="C675" s="65"/>
      <c r="D675" s="61"/>
      <c r="E675" s="56"/>
      <c r="F675" s="53"/>
      <c r="G675" s="53" t="str">
        <f>IF(ISBLANK(Acciones!$H675)=TRUE," ",WEEKNUM(Acciones!$H675,21))</f>
        <v xml:space="preserve"> </v>
      </c>
      <c r="H675" s="53"/>
      <c r="I675" s="66"/>
      <c r="J675" s="53"/>
      <c r="K675" s="48" t="str">
        <f ca="1">IF(AND(ISBLANK(Acciones!$D675)=FALSE,ISBLANK(Acciones!$H675)=TRUE),"Faltan fechas",IF(Acciones!$H675="","",IF(AND(Acciones!$H675&gt;=TODAY(),ISBLANK(Acciones!$J675)=TRUE),"En tiempo",IF(AND(Acciones!$H675&lt;TODAY(),Acciones!$J675=""),"Retrasado",IF(Acciones!$J675&gt;Acciones!$H675,"Cerrado con retraso","Cerrado")))))</f>
        <v/>
      </c>
      <c r="L675" s="61"/>
      <c r="M675" s="74"/>
      <c r="T675" s="26"/>
      <c r="U675" s="26"/>
    </row>
    <row r="676" spans="2:21" x14ac:dyDescent="0.3">
      <c r="B676" s="53"/>
      <c r="C676" s="65"/>
      <c r="D676" s="61"/>
      <c r="E676" s="56"/>
      <c r="F676" s="53"/>
      <c r="G676" s="53" t="str">
        <f>IF(ISBLANK(Acciones!$H676)=TRUE," ",WEEKNUM(Acciones!$H676,21))</f>
        <v xml:space="preserve"> </v>
      </c>
      <c r="H676" s="53"/>
      <c r="I676" s="66"/>
      <c r="J676" s="53"/>
      <c r="K676" s="48" t="str">
        <f ca="1">IF(AND(ISBLANK(Acciones!$D676)=FALSE,ISBLANK(Acciones!$H676)=TRUE),"Faltan fechas",IF(Acciones!$H676="","",IF(AND(Acciones!$H676&gt;=TODAY(),ISBLANK(Acciones!$J676)=TRUE),"En tiempo",IF(AND(Acciones!$H676&lt;TODAY(),Acciones!$J676=""),"Retrasado",IF(Acciones!$J676&gt;Acciones!$H676,"Cerrado con retraso","Cerrado")))))</f>
        <v/>
      </c>
      <c r="L676" s="61"/>
      <c r="M676" s="74"/>
      <c r="T676" s="26"/>
      <c r="U676" s="26"/>
    </row>
    <row r="677" spans="2:21" x14ac:dyDescent="0.3">
      <c r="B677" s="53"/>
      <c r="C677" s="65"/>
      <c r="D677" s="61"/>
      <c r="E677" s="56"/>
      <c r="F677" s="53"/>
      <c r="G677" s="53" t="str">
        <f>IF(ISBLANK(Acciones!$H677)=TRUE," ",WEEKNUM(Acciones!$H677,21))</f>
        <v xml:space="preserve"> </v>
      </c>
      <c r="H677" s="53"/>
      <c r="I677" s="66"/>
      <c r="J677" s="53"/>
      <c r="K677" s="48" t="str">
        <f ca="1">IF(AND(ISBLANK(Acciones!$D677)=FALSE,ISBLANK(Acciones!$H677)=TRUE),"Faltan fechas",IF(Acciones!$H677="","",IF(AND(Acciones!$H677&gt;=TODAY(),ISBLANK(Acciones!$J677)=TRUE),"En tiempo",IF(AND(Acciones!$H677&lt;TODAY(),Acciones!$J677=""),"Retrasado",IF(Acciones!$J677&gt;Acciones!$H677,"Cerrado con retraso","Cerrado")))))</f>
        <v/>
      </c>
      <c r="L677" s="61"/>
      <c r="M677" s="74"/>
      <c r="T677" s="26"/>
      <c r="U677" s="26"/>
    </row>
    <row r="678" spans="2:21" x14ac:dyDescent="0.3">
      <c r="B678" s="53"/>
      <c r="C678" s="65"/>
      <c r="D678" s="61"/>
      <c r="E678" s="56"/>
      <c r="F678" s="53"/>
      <c r="G678" s="53" t="str">
        <f>IF(ISBLANK(Acciones!$H678)=TRUE," ",WEEKNUM(Acciones!$H678,21))</f>
        <v xml:space="preserve"> </v>
      </c>
      <c r="H678" s="53"/>
      <c r="I678" s="66"/>
      <c r="J678" s="53"/>
      <c r="K678" s="48" t="str">
        <f ca="1">IF(AND(ISBLANK(Acciones!$D678)=FALSE,ISBLANK(Acciones!$H678)=TRUE),"Faltan fechas",IF(Acciones!$H678="","",IF(AND(Acciones!$H678&gt;=TODAY(),ISBLANK(Acciones!$J678)=TRUE),"En tiempo",IF(AND(Acciones!$H678&lt;TODAY(),Acciones!$J678=""),"Retrasado",IF(Acciones!$J678&gt;Acciones!$H678,"Cerrado con retraso","Cerrado")))))</f>
        <v/>
      </c>
      <c r="L678" s="61"/>
      <c r="M678" s="74"/>
      <c r="T678" s="26"/>
      <c r="U678" s="26"/>
    </row>
    <row r="679" spans="2:21" x14ac:dyDescent="0.3">
      <c r="B679" s="53"/>
      <c r="C679" s="65"/>
      <c r="D679" s="61"/>
      <c r="E679" s="56"/>
      <c r="F679" s="53"/>
      <c r="G679" s="53" t="str">
        <f>IF(ISBLANK(Acciones!$H679)=TRUE," ",WEEKNUM(Acciones!$H679,21))</f>
        <v xml:space="preserve"> </v>
      </c>
      <c r="H679" s="53"/>
      <c r="I679" s="66"/>
      <c r="J679" s="53"/>
      <c r="K679" s="48" t="str">
        <f ca="1">IF(AND(ISBLANK(Acciones!$D679)=FALSE,ISBLANK(Acciones!$H679)=TRUE),"Faltan fechas",IF(Acciones!$H679="","",IF(AND(Acciones!$H679&gt;=TODAY(),ISBLANK(Acciones!$J679)=TRUE),"En tiempo",IF(AND(Acciones!$H679&lt;TODAY(),Acciones!$J679=""),"Retrasado",IF(Acciones!$J679&gt;Acciones!$H679,"Cerrado con retraso","Cerrado")))))</f>
        <v/>
      </c>
      <c r="L679" s="61"/>
      <c r="M679" s="74"/>
      <c r="T679" s="26"/>
      <c r="U679" s="26"/>
    </row>
    <row r="680" spans="2:21" x14ac:dyDescent="0.3">
      <c r="B680" s="53"/>
      <c r="C680" s="65"/>
      <c r="D680" s="61"/>
      <c r="E680" s="56"/>
      <c r="F680" s="53"/>
      <c r="G680" s="53" t="str">
        <f>IF(ISBLANK(Acciones!$H680)=TRUE," ",WEEKNUM(Acciones!$H680,21))</f>
        <v xml:space="preserve"> </v>
      </c>
      <c r="H680" s="53"/>
      <c r="I680" s="66"/>
      <c r="J680" s="53"/>
      <c r="K680" s="48" t="str">
        <f ca="1">IF(AND(ISBLANK(Acciones!$D680)=FALSE,ISBLANK(Acciones!$H680)=TRUE),"Faltan fechas",IF(Acciones!$H680="","",IF(AND(Acciones!$H680&gt;=TODAY(),ISBLANK(Acciones!$J680)=TRUE),"En tiempo",IF(AND(Acciones!$H680&lt;TODAY(),Acciones!$J680=""),"Retrasado",IF(Acciones!$J680&gt;Acciones!$H680,"Cerrado con retraso","Cerrado")))))</f>
        <v/>
      </c>
      <c r="L680" s="61"/>
      <c r="M680" s="74"/>
      <c r="T680" s="26"/>
      <c r="U680" s="26"/>
    </row>
    <row r="681" spans="2:21" x14ac:dyDescent="0.3">
      <c r="B681" s="53"/>
      <c r="C681" s="65"/>
      <c r="D681" s="61"/>
      <c r="E681" s="56"/>
      <c r="F681" s="53"/>
      <c r="G681" s="53" t="str">
        <f>IF(ISBLANK(Acciones!$H681)=TRUE," ",WEEKNUM(Acciones!$H681,21))</f>
        <v xml:space="preserve"> </v>
      </c>
      <c r="H681" s="53"/>
      <c r="I681" s="66"/>
      <c r="J681" s="53"/>
      <c r="K681" s="48" t="str">
        <f ca="1">IF(AND(ISBLANK(Acciones!$D681)=FALSE,ISBLANK(Acciones!$H681)=TRUE),"Faltan fechas",IF(Acciones!$H681="","",IF(AND(Acciones!$H681&gt;=TODAY(),ISBLANK(Acciones!$J681)=TRUE),"En tiempo",IF(AND(Acciones!$H681&lt;TODAY(),Acciones!$J681=""),"Retrasado",IF(Acciones!$J681&gt;Acciones!$H681,"Cerrado con retraso","Cerrado")))))</f>
        <v/>
      </c>
      <c r="L681" s="61"/>
      <c r="M681" s="74"/>
      <c r="T681" s="26"/>
      <c r="U681" s="26"/>
    </row>
    <row r="682" spans="2:21" x14ac:dyDescent="0.3">
      <c r="B682" s="53"/>
      <c r="C682" s="65"/>
      <c r="D682" s="61"/>
      <c r="E682" s="56"/>
      <c r="F682" s="53"/>
      <c r="G682" s="53" t="str">
        <f>IF(ISBLANK(Acciones!$H682)=TRUE," ",WEEKNUM(Acciones!$H682,21))</f>
        <v xml:space="preserve"> </v>
      </c>
      <c r="H682" s="53"/>
      <c r="I682" s="66"/>
      <c r="J682" s="53"/>
      <c r="K682" s="48" t="str">
        <f ca="1">IF(AND(ISBLANK(Acciones!$D682)=FALSE,ISBLANK(Acciones!$H682)=TRUE),"Faltan fechas",IF(Acciones!$H682="","",IF(AND(Acciones!$H682&gt;=TODAY(),ISBLANK(Acciones!$J682)=TRUE),"En tiempo",IF(AND(Acciones!$H682&lt;TODAY(),Acciones!$J682=""),"Retrasado",IF(Acciones!$J682&gt;Acciones!$H682,"Cerrado con retraso","Cerrado")))))</f>
        <v/>
      </c>
      <c r="L682" s="61"/>
      <c r="M682" s="74"/>
      <c r="T682" s="26"/>
      <c r="U682" s="26"/>
    </row>
    <row r="683" spans="2:21" x14ac:dyDescent="0.3">
      <c r="B683" s="53"/>
      <c r="C683" s="65"/>
      <c r="D683" s="61"/>
      <c r="E683" s="56"/>
      <c r="F683" s="53"/>
      <c r="G683" s="53" t="str">
        <f>IF(ISBLANK(Acciones!$H683)=TRUE," ",WEEKNUM(Acciones!$H683,21))</f>
        <v xml:space="preserve"> </v>
      </c>
      <c r="H683" s="53"/>
      <c r="I683" s="66"/>
      <c r="J683" s="53"/>
      <c r="K683" s="48" t="str">
        <f ca="1">IF(AND(ISBLANK(Acciones!$D683)=FALSE,ISBLANK(Acciones!$H683)=TRUE),"Faltan fechas",IF(Acciones!$H683="","",IF(AND(Acciones!$H683&gt;=TODAY(),ISBLANK(Acciones!$J683)=TRUE),"En tiempo",IF(AND(Acciones!$H683&lt;TODAY(),Acciones!$J683=""),"Retrasado",IF(Acciones!$J683&gt;Acciones!$H683,"Cerrado con retraso","Cerrado")))))</f>
        <v/>
      </c>
      <c r="L683" s="61"/>
      <c r="M683" s="74"/>
      <c r="T683" s="26"/>
      <c r="U683" s="26"/>
    </row>
    <row r="684" spans="2:21" x14ac:dyDescent="0.3">
      <c r="B684" s="53"/>
      <c r="C684" s="65"/>
      <c r="D684" s="61"/>
      <c r="E684" s="56"/>
      <c r="F684" s="53"/>
      <c r="G684" s="53" t="str">
        <f>IF(ISBLANK(Acciones!$H684)=TRUE," ",WEEKNUM(Acciones!$H684,21))</f>
        <v xml:space="preserve"> </v>
      </c>
      <c r="H684" s="53"/>
      <c r="I684" s="66"/>
      <c r="J684" s="53"/>
      <c r="K684" s="48" t="str">
        <f ca="1">IF(AND(ISBLANK(Acciones!$D684)=FALSE,ISBLANK(Acciones!$H684)=TRUE),"Faltan fechas",IF(Acciones!$H684="","",IF(AND(Acciones!$H684&gt;=TODAY(),ISBLANK(Acciones!$J684)=TRUE),"En tiempo",IF(AND(Acciones!$H684&lt;TODAY(),Acciones!$J684=""),"Retrasado",IF(Acciones!$J684&gt;Acciones!$H684,"Cerrado con retraso","Cerrado")))))</f>
        <v/>
      </c>
      <c r="L684" s="61"/>
      <c r="M684" s="74"/>
      <c r="T684" s="26"/>
      <c r="U684" s="26"/>
    </row>
    <row r="685" spans="2:21" x14ac:dyDescent="0.3">
      <c r="B685" s="53"/>
      <c r="C685" s="65"/>
      <c r="D685" s="61"/>
      <c r="E685" s="56"/>
      <c r="F685" s="53"/>
      <c r="G685" s="53" t="str">
        <f>IF(ISBLANK(Acciones!$H685)=TRUE," ",WEEKNUM(Acciones!$H685,21))</f>
        <v xml:space="preserve"> </v>
      </c>
      <c r="H685" s="53"/>
      <c r="I685" s="66"/>
      <c r="J685" s="53"/>
      <c r="K685" s="48" t="str">
        <f ca="1">IF(AND(ISBLANK(Acciones!$D685)=FALSE,ISBLANK(Acciones!$H685)=TRUE),"Faltan fechas",IF(Acciones!$H685="","",IF(AND(Acciones!$H685&gt;=TODAY(),ISBLANK(Acciones!$J685)=TRUE),"En tiempo",IF(AND(Acciones!$H685&lt;TODAY(),Acciones!$J685=""),"Retrasado",IF(Acciones!$J685&gt;Acciones!$H685,"Cerrado con retraso","Cerrado")))))</f>
        <v/>
      </c>
      <c r="L685" s="61"/>
      <c r="M685" s="74"/>
      <c r="T685" s="26"/>
      <c r="U685" s="26"/>
    </row>
    <row r="686" spans="2:21" x14ac:dyDescent="0.3">
      <c r="B686" s="53"/>
      <c r="C686" s="65"/>
      <c r="D686" s="61"/>
      <c r="E686" s="56"/>
      <c r="F686" s="53"/>
      <c r="G686" s="53" t="str">
        <f>IF(ISBLANK(Acciones!$H686)=TRUE," ",WEEKNUM(Acciones!$H686,21))</f>
        <v xml:space="preserve"> </v>
      </c>
      <c r="H686" s="53"/>
      <c r="I686" s="66"/>
      <c r="J686" s="53"/>
      <c r="K686" s="48" t="str">
        <f ca="1">IF(AND(ISBLANK(Acciones!$D686)=FALSE,ISBLANK(Acciones!$H686)=TRUE),"Faltan fechas",IF(Acciones!$H686="","",IF(AND(Acciones!$H686&gt;=TODAY(),ISBLANK(Acciones!$J686)=TRUE),"En tiempo",IF(AND(Acciones!$H686&lt;TODAY(),Acciones!$J686=""),"Retrasado",IF(Acciones!$J686&gt;Acciones!$H686,"Cerrado con retraso","Cerrado")))))</f>
        <v/>
      </c>
      <c r="L686" s="61"/>
      <c r="M686" s="74"/>
      <c r="T686" s="26"/>
      <c r="U686" s="26"/>
    </row>
    <row r="687" spans="2:21" x14ac:dyDescent="0.3">
      <c r="B687" s="53"/>
      <c r="C687" s="65"/>
      <c r="D687" s="61"/>
      <c r="E687" s="56"/>
      <c r="F687" s="53"/>
      <c r="G687" s="53" t="str">
        <f>IF(ISBLANK(Acciones!$H687)=TRUE," ",WEEKNUM(Acciones!$H687,21))</f>
        <v xml:space="preserve"> </v>
      </c>
      <c r="H687" s="53"/>
      <c r="I687" s="66"/>
      <c r="J687" s="53"/>
      <c r="K687" s="48" t="str">
        <f ca="1">IF(AND(ISBLANK(Acciones!$D687)=FALSE,ISBLANK(Acciones!$H687)=TRUE),"Faltan fechas",IF(Acciones!$H687="","",IF(AND(Acciones!$H687&gt;=TODAY(),ISBLANK(Acciones!$J687)=TRUE),"En tiempo",IF(AND(Acciones!$H687&lt;TODAY(),Acciones!$J687=""),"Retrasado",IF(Acciones!$J687&gt;Acciones!$H687,"Cerrado con retraso","Cerrado")))))</f>
        <v/>
      </c>
      <c r="L687" s="61"/>
      <c r="M687" s="74"/>
      <c r="T687" s="26"/>
      <c r="U687" s="26"/>
    </row>
    <row r="688" spans="2:21" x14ac:dyDescent="0.3">
      <c r="B688" s="53"/>
      <c r="C688" s="65"/>
      <c r="D688" s="61"/>
      <c r="E688" s="56"/>
      <c r="F688" s="53"/>
      <c r="G688" s="53" t="str">
        <f>IF(ISBLANK(Acciones!$H688)=TRUE," ",WEEKNUM(Acciones!$H688,21))</f>
        <v xml:space="preserve"> </v>
      </c>
      <c r="H688" s="53"/>
      <c r="I688" s="66"/>
      <c r="J688" s="53"/>
      <c r="K688" s="48" t="str">
        <f ca="1">IF(AND(ISBLANK(Acciones!$D688)=FALSE,ISBLANK(Acciones!$H688)=TRUE),"Faltan fechas",IF(Acciones!$H688="","",IF(AND(Acciones!$H688&gt;=TODAY(),ISBLANK(Acciones!$J688)=TRUE),"En tiempo",IF(AND(Acciones!$H688&lt;TODAY(),Acciones!$J688=""),"Retrasado",IF(Acciones!$J688&gt;Acciones!$H688,"Cerrado con retraso","Cerrado")))))</f>
        <v/>
      </c>
      <c r="L688" s="61"/>
      <c r="M688" s="74"/>
      <c r="T688" s="26"/>
      <c r="U688" s="26"/>
    </row>
    <row r="689" spans="2:21" x14ac:dyDescent="0.3">
      <c r="B689" s="53"/>
      <c r="C689" s="65"/>
      <c r="D689" s="61"/>
      <c r="E689" s="56"/>
      <c r="F689" s="53"/>
      <c r="G689" s="53" t="str">
        <f>IF(ISBLANK(Acciones!$H689)=TRUE," ",WEEKNUM(Acciones!$H689,21))</f>
        <v xml:space="preserve"> </v>
      </c>
      <c r="H689" s="53"/>
      <c r="I689" s="66"/>
      <c r="J689" s="53"/>
      <c r="K689" s="48" t="str">
        <f ca="1">IF(AND(ISBLANK(Acciones!$D689)=FALSE,ISBLANK(Acciones!$H689)=TRUE),"Faltan fechas",IF(Acciones!$H689="","",IF(AND(Acciones!$H689&gt;=TODAY(),ISBLANK(Acciones!$J689)=TRUE),"En tiempo",IF(AND(Acciones!$H689&lt;TODAY(),Acciones!$J689=""),"Retrasado",IF(Acciones!$J689&gt;Acciones!$H689,"Cerrado con retraso","Cerrado")))))</f>
        <v/>
      </c>
      <c r="L689" s="61"/>
      <c r="M689" s="74"/>
      <c r="T689" s="26"/>
      <c r="U689" s="26"/>
    </row>
    <row r="690" spans="2:21" x14ac:dyDescent="0.3">
      <c r="B690" s="53"/>
      <c r="C690" s="65"/>
      <c r="D690" s="61"/>
      <c r="E690" s="56"/>
      <c r="F690" s="53"/>
      <c r="G690" s="53" t="str">
        <f>IF(ISBLANK(Acciones!$H690)=TRUE," ",WEEKNUM(Acciones!$H690,21))</f>
        <v xml:space="preserve"> </v>
      </c>
      <c r="H690" s="53"/>
      <c r="I690" s="66"/>
      <c r="J690" s="53"/>
      <c r="K690" s="48" t="str">
        <f ca="1">IF(AND(ISBLANK(Acciones!$D690)=FALSE,ISBLANK(Acciones!$H690)=TRUE),"Faltan fechas",IF(Acciones!$H690="","",IF(AND(Acciones!$H690&gt;=TODAY(),ISBLANK(Acciones!$J690)=TRUE),"En tiempo",IF(AND(Acciones!$H690&lt;TODAY(),Acciones!$J690=""),"Retrasado",IF(Acciones!$J690&gt;Acciones!$H690,"Cerrado con retraso","Cerrado")))))</f>
        <v/>
      </c>
      <c r="L690" s="61"/>
      <c r="M690" s="74"/>
      <c r="T690" s="26"/>
      <c r="U690" s="26"/>
    </row>
    <row r="691" spans="2:21" x14ac:dyDescent="0.3">
      <c r="B691" s="53"/>
      <c r="C691" s="65"/>
      <c r="D691" s="61"/>
      <c r="E691" s="56"/>
      <c r="F691" s="53"/>
      <c r="G691" s="53" t="str">
        <f>IF(ISBLANK(Acciones!$H691)=TRUE," ",WEEKNUM(Acciones!$H691,21))</f>
        <v xml:space="preserve"> </v>
      </c>
      <c r="H691" s="53"/>
      <c r="I691" s="66"/>
      <c r="J691" s="53"/>
      <c r="K691" s="48" t="str">
        <f ca="1">IF(AND(ISBLANK(Acciones!$D691)=FALSE,ISBLANK(Acciones!$H691)=TRUE),"Faltan fechas",IF(Acciones!$H691="","",IF(AND(Acciones!$H691&gt;=TODAY(),ISBLANK(Acciones!$J691)=TRUE),"En tiempo",IF(AND(Acciones!$H691&lt;TODAY(),Acciones!$J691=""),"Retrasado",IF(Acciones!$J691&gt;Acciones!$H691,"Cerrado con retraso","Cerrado")))))</f>
        <v/>
      </c>
      <c r="L691" s="61"/>
      <c r="M691" s="74"/>
      <c r="T691" s="26"/>
      <c r="U691" s="26"/>
    </row>
    <row r="692" spans="2:21" x14ac:dyDescent="0.3">
      <c r="B692" s="53"/>
      <c r="C692" s="65"/>
      <c r="D692" s="61"/>
      <c r="E692" s="56"/>
      <c r="F692" s="53"/>
      <c r="G692" s="53" t="str">
        <f>IF(ISBLANK(Acciones!$H692)=TRUE," ",WEEKNUM(Acciones!$H692,21))</f>
        <v xml:space="preserve"> </v>
      </c>
      <c r="H692" s="53"/>
      <c r="I692" s="66"/>
      <c r="J692" s="53"/>
      <c r="K692" s="48" t="str">
        <f ca="1">IF(AND(ISBLANK(Acciones!$D692)=FALSE,ISBLANK(Acciones!$H692)=TRUE),"Faltan fechas",IF(Acciones!$H692="","",IF(AND(Acciones!$H692&gt;=TODAY(),ISBLANK(Acciones!$J692)=TRUE),"En tiempo",IF(AND(Acciones!$H692&lt;TODAY(),Acciones!$J692=""),"Retrasado",IF(Acciones!$J692&gt;Acciones!$H692,"Cerrado con retraso","Cerrado")))))</f>
        <v/>
      </c>
      <c r="L692" s="61"/>
      <c r="M692" s="74"/>
      <c r="T692" s="26"/>
      <c r="U692" s="26"/>
    </row>
    <row r="693" spans="2:21" x14ac:dyDescent="0.3">
      <c r="B693" s="53"/>
      <c r="C693" s="65"/>
      <c r="D693" s="61"/>
      <c r="E693" s="56"/>
      <c r="F693" s="53"/>
      <c r="G693" s="53" t="str">
        <f>IF(ISBLANK(Acciones!$H693)=TRUE," ",WEEKNUM(Acciones!$H693,21))</f>
        <v xml:space="preserve"> </v>
      </c>
      <c r="H693" s="53"/>
      <c r="I693" s="66"/>
      <c r="J693" s="53"/>
      <c r="K693" s="48" t="str">
        <f ca="1">IF(AND(ISBLANK(Acciones!$D693)=FALSE,ISBLANK(Acciones!$H693)=TRUE),"Faltan fechas",IF(Acciones!$H693="","",IF(AND(Acciones!$H693&gt;=TODAY(),ISBLANK(Acciones!$J693)=TRUE),"En tiempo",IF(AND(Acciones!$H693&lt;TODAY(),Acciones!$J693=""),"Retrasado",IF(Acciones!$J693&gt;Acciones!$H693,"Cerrado con retraso","Cerrado")))))</f>
        <v/>
      </c>
      <c r="L693" s="61"/>
      <c r="M693" s="74"/>
      <c r="T693" s="26"/>
      <c r="U693" s="26"/>
    </row>
    <row r="694" spans="2:21" x14ac:dyDescent="0.3">
      <c r="B694" s="53"/>
      <c r="C694" s="65"/>
      <c r="D694" s="61"/>
      <c r="E694" s="56"/>
      <c r="F694" s="53"/>
      <c r="G694" s="53" t="str">
        <f>IF(ISBLANK(Acciones!$H694)=TRUE," ",WEEKNUM(Acciones!$H694,21))</f>
        <v xml:space="preserve"> </v>
      </c>
      <c r="H694" s="53"/>
      <c r="I694" s="66"/>
      <c r="J694" s="53"/>
      <c r="K694" s="48" t="str">
        <f ca="1">IF(AND(ISBLANK(Acciones!$D694)=FALSE,ISBLANK(Acciones!$H694)=TRUE),"Faltan fechas",IF(Acciones!$H694="","",IF(AND(Acciones!$H694&gt;=TODAY(),ISBLANK(Acciones!$J694)=TRUE),"En tiempo",IF(AND(Acciones!$H694&lt;TODAY(),Acciones!$J694=""),"Retrasado",IF(Acciones!$J694&gt;Acciones!$H694,"Cerrado con retraso","Cerrado")))))</f>
        <v/>
      </c>
      <c r="L694" s="61"/>
      <c r="M694" s="74"/>
      <c r="T694" s="26"/>
      <c r="U694" s="26"/>
    </row>
    <row r="695" spans="2:21" x14ac:dyDescent="0.3">
      <c r="B695" s="53"/>
      <c r="C695" s="65"/>
      <c r="D695" s="61"/>
      <c r="E695" s="56"/>
      <c r="F695" s="53"/>
      <c r="G695" s="53" t="str">
        <f>IF(ISBLANK(Acciones!$H695)=TRUE," ",WEEKNUM(Acciones!$H695,21))</f>
        <v xml:space="preserve"> </v>
      </c>
      <c r="H695" s="53"/>
      <c r="I695" s="66"/>
      <c r="J695" s="53"/>
      <c r="K695" s="48" t="str">
        <f ca="1">IF(AND(ISBLANK(Acciones!$D695)=FALSE,ISBLANK(Acciones!$H695)=TRUE),"Faltan fechas",IF(Acciones!$H695="","",IF(AND(Acciones!$H695&gt;=TODAY(),ISBLANK(Acciones!$J695)=TRUE),"En tiempo",IF(AND(Acciones!$H695&lt;TODAY(),Acciones!$J695=""),"Retrasado",IF(Acciones!$J695&gt;Acciones!$H695,"Cerrado con retraso","Cerrado")))))</f>
        <v/>
      </c>
      <c r="L695" s="61"/>
      <c r="M695" s="74"/>
      <c r="T695" s="26"/>
      <c r="U695" s="26"/>
    </row>
    <row r="696" spans="2:21" x14ac:dyDescent="0.3">
      <c r="B696" s="53"/>
      <c r="C696" s="65"/>
      <c r="D696" s="61"/>
      <c r="E696" s="56"/>
      <c r="F696" s="53"/>
      <c r="G696" s="53" t="str">
        <f>IF(ISBLANK(Acciones!$H696)=TRUE," ",WEEKNUM(Acciones!$H696,21))</f>
        <v xml:space="preserve"> </v>
      </c>
      <c r="H696" s="53"/>
      <c r="I696" s="66"/>
      <c r="J696" s="53"/>
      <c r="K696" s="48" t="str">
        <f ca="1">IF(AND(ISBLANK(Acciones!$D696)=FALSE,ISBLANK(Acciones!$H696)=TRUE),"Faltan fechas",IF(Acciones!$H696="","",IF(AND(Acciones!$H696&gt;=TODAY(),ISBLANK(Acciones!$J696)=TRUE),"En tiempo",IF(AND(Acciones!$H696&lt;TODAY(),Acciones!$J696=""),"Retrasado",IF(Acciones!$J696&gt;Acciones!$H696,"Cerrado con retraso","Cerrado")))))</f>
        <v/>
      </c>
      <c r="L696" s="61"/>
      <c r="M696" s="74"/>
      <c r="T696" s="26"/>
      <c r="U696" s="26"/>
    </row>
    <row r="697" spans="2:21" x14ac:dyDescent="0.3">
      <c r="B697" s="53"/>
      <c r="C697" s="65"/>
      <c r="D697" s="61"/>
      <c r="E697" s="56"/>
      <c r="F697" s="53"/>
      <c r="G697" s="53" t="str">
        <f>IF(ISBLANK(Acciones!$H697)=TRUE," ",WEEKNUM(Acciones!$H697,21))</f>
        <v xml:space="preserve"> </v>
      </c>
      <c r="H697" s="53"/>
      <c r="I697" s="66"/>
      <c r="J697" s="53"/>
      <c r="K697" s="48" t="str">
        <f ca="1">IF(AND(ISBLANK(Acciones!$D697)=FALSE,ISBLANK(Acciones!$H697)=TRUE),"Faltan fechas",IF(Acciones!$H697="","",IF(AND(Acciones!$H697&gt;=TODAY(),ISBLANK(Acciones!$J697)=TRUE),"En tiempo",IF(AND(Acciones!$H697&lt;TODAY(),Acciones!$J697=""),"Retrasado",IF(Acciones!$J697&gt;Acciones!$H697,"Cerrado con retraso","Cerrado")))))</f>
        <v/>
      </c>
      <c r="L697" s="61"/>
      <c r="M697" s="74"/>
      <c r="T697" s="26"/>
      <c r="U697" s="26"/>
    </row>
    <row r="698" spans="2:21" x14ac:dyDescent="0.3">
      <c r="B698" s="53"/>
      <c r="C698" s="65"/>
      <c r="D698" s="61"/>
      <c r="E698" s="56"/>
      <c r="F698" s="53"/>
      <c r="G698" s="53" t="str">
        <f>IF(ISBLANK(Acciones!$H698)=TRUE," ",WEEKNUM(Acciones!$H698,21))</f>
        <v xml:space="preserve"> </v>
      </c>
      <c r="H698" s="53"/>
      <c r="I698" s="66"/>
      <c r="J698" s="53"/>
      <c r="K698" s="48" t="str">
        <f ca="1">IF(AND(ISBLANK(Acciones!$D698)=FALSE,ISBLANK(Acciones!$H698)=TRUE),"Faltan fechas",IF(Acciones!$H698="","",IF(AND(Acciones!$H698&gt;=TODAY(),ISBLANK(Acciones!$J698)=TRUE),"En tiempo",IF(AND(Acciones!$H698&lt;TODAY(),Acciones!$J698=""),"Retrasado",IF(Acciones!$J698&gt;Acciones!$H698,"Cerrado con retraso","Cerrado")))))</f>
        <v/>
      </c>
      <c r="L698" s="61"/>
      <c r="M698" s="74"/>
      <c r="T698" s="26"/>
      <c r="U698" s="26"/>
    </row>
    <row r="699" spans="2:21" x14ac:dyDescent="0.3">
      <c r="B699" s="53"/>
      <c r="C699" s="65"/>
      <c r="D699" s="61"/>
      <c r="E699" s="56"/>
      <c r="F699" s="53"/>
      <c r="G699" s="53" t="str">
        <f>IF(ISBLANK(Acciones!$H699)=TRUE," ",WEEKNUM(Acciones!$H699,21))</f>
        <v xml:space="preserve"> </v>
      </c>
      <c r="H699" s="53"/>
      <c r="I699" s="66"/>
      <c r="J699" s="53"/>
      <c r="K699" s="48" t="str">
        <f ca="1">IF(AND(ISBLANK(Acciones!$D699)=FALSE,ISBLANK(Acciones!$H699)=TRUE),"Faltan fechas",IF(Acciones!$H699="","",IF(AND(Acciones!$H699&gt;=TODAY(),ISBLANK(Acciones!$J699)=TRUE),"En tiempo",IF(AND(Acciones!$H699&lt;TODAY(),Acciones!$J699=""),"Retrasado",IF(Acciones!$J699&gt;Acciones!$H699,"Cerrado con retraso","Cerrado")))))</f>
        <v/>
      </c>
      <c r="L699" s="61"/>
      <c r="M699" s="74"/>
      <c r="T699" s="26"/>
      <c r="U699" s="26"/>
    </row>
    <row r="700" spans="2:21" x14ac:dyDescent="0.3">
      <c r="B700" s="53"/>
      <c r="C700" s="65"/>
      <c r="D700" s="61"/>
      <c r="E700" s="56"/>
      <c r="F700" s="53"/>
      <c r="G700" s="53" t="str">
        <f>IF(ISBLANK(Acciones!$H700)=TRUE," ",WEEKNUM(Acciones!$H700,21))</f>
        <v xml:space="preserve"> </v>
      </c>
      <c r="H700" s="53"/>
      <c r="I700" s="66"/>
      <c r="J700" s="53"/>
      <c r="K700" s="48" t="str">
        <f ca="1">IF(AND(ISBLANK(Acciones!$D700)=FALSE,ISBLANK(Acciones!$H700)=TRUE),"Faltan fechas",IF(Acciones!$H700="","",IF(AND(Acciones!$H700&gt;=TODAY(),ISBLANK(Acciones!$J700)=TRUE),"En tiempo",IF(AND(Acciones!$H700&lt;TODAY(),Acciones!$J700=""),"Retrasado",IF(Acciones!$J700&gt;Acciones!$H700,"Cerrado con retraso","Cerrado")))))</f>
        <v/>
      </c>
      <c r="L700" s="61"/>
      <c r="M700" s="74"/>
      <c r="T700" s="26"/>
      <c r="U700" s="26"/>
    </row>
    <row r="701" spans="2:21" x14ac:dyDescent="0.3">
      <c r="B701" s="53"/>
      <c r="C701" s="65"/>
      <c r="D701" s="61"/>
      <c r="E701" s="56"/>
      <c r="F701" s="53"/>
      <c r="G701" s="53" t="str">
        <f>IF(ISBLANK(Acciones!$H701)=TRUE," ",WEEKNUM(Acciones!$H701,21))</f>
        <v xml:space="preserve"> </v>
      </c>
      <c r="H701" s="53"/>
      <c r="I701" s="66"/>
      <c r="J701" s="53"/>
      <c r="K701" s="48" t="str">
        <f ca="1">IF(AND(ISBLANK(Acciones!$D701)=FALSE,ISBLANK(Acciones!$H701)=TRUE),"Faltan fechas",IF(Acciones!$H701="","",IF(AND(Acciones!$H701&gt;=TODAY(),ISBLANK(Acciones!$J701)=TRUE),"En tiempo",IF(AND(Acciones!$H701&lt;TODAY(),Acciones!$J701=""),"Retrasado",IF(Acciones!$J701&gt;Acciones!$H701,"Cerrado con retraso","Cerrado")))))</f>
        <v/>
      </c>
      <c r="L701" s="61"/>
      <c r="M701" s="74"/>
      <c r="T701" s="26"/>
      <c r="U701" s="26"/>
    </row>
    <row r="702" spans="2:21" x14ac:dyDescent="0.3">
      <c r="B702" s="53"/>
      <c r="C702" s="65"/>
      <c r="D702" s="61"/>
      <c r="E702" s="56"/>
      <c r="F702" s="53"/>
      <c r="G702" s="53" t="str">
        <f>IF(ISBLANK(Acciones!$H702)=TRUE," ",WEEKNUM(Acciones!$H702,21))</f>
        <v xml:space="preserve"> </v>
      </c>
      <c r="H702" s="53"/>
      <c r="I702" s="66"/>
      <c r="J702" s="53"/>
      <c r="K702" s="48" t="str">
        <f ca="1">IF(AND(ISBLANK(Acciones!$D702)=FALSE,ISBLANK(Acciones!$H702)=TRUE),"Faltan fechas",IF(Acciones!$H702="","",IF(AND(Acciones!$H702&gt;=TODAY(),ISBLANK(Acciones!$J702)=TRUE),"En tiempo",IF(AND(Acciones!$H702&lt;TODAY(),Acciones!$J702=""),"Retrasado",IF(Acciones!$J702&gt;Acciones!$H702,"Cerrado con retraso","Cerrado")))))</f>
        <v/>
      </c>
      <c r="L702" s="61"/>
      <c r="M702" s="74"/>
      <c r="T702" s="26"/>
      <c r="U702" s="26"/>
    </row>
    <row r="703" spans="2:21" x14ac:dyDescent="0.3">
      <c r="B703" s="53"/>
      <c r="C703" s="65"/>
      <c r="D703" s="61"/>
      <c r="E703" s="56"/>
      <c r="F703" s="53"/>
      <c r="G703" s="53" t="str">
        <f>IF(ISBLANK(Acciones!$H703)=TRUE," ",WEEKNUM(Acciones!$H703,21))</f>
        <v xml:space="preserve"> </v>
      </c>
      <c r="H703" s="53"/>
      <c r="I703" s="66"/>
      <c r="J703" s="53"/>
      <c r="K703" s="48" t="str">
        <f ca="1">IF(AND(ISBLANK(Acciones!$D703)=FALSE,ISBLANK(Acciones!$H703)=TRUE),"Faltan fechas",IF(Acciones!$H703="","",IF(AND(Acciones!$H703&gt;=TODAY(),ISBLANK(Acciones!$J703)=TRUE),"En tiempo",IF(AND(Acciones!$H703&lt;TODAY(),Acciones!$J703=""),"Retrasado",IF(Acciones!$J703&gt;Acciones!$H703,"Cerrado con retraso","Cerrado")))))</f>
        <v/>
      </c>
      <c r="L703" s="61"/>
      <c r="M703" s="74"/>
      <c r="T703" s="26"/>
      <c r="U703" s="26"/>
    </row>
    <row r="704" spans="2:21" x14ac:dyDescent="0.3">
      <c r="B704" s="53"/>
      <c r="C704" s="65"/>
      <c r="D704" s="61"/>
      <c r="E704" s="56"/>
      <c r="F704" s="53"/>
      <c r="G704" s="53" t="str">
        <f>IF(ISBLANK(Acciones!$H704)=TRUE," ",WEEKNUM(Acciones!$H704,21))</f>
        <v xml:space="preserve"> </v>
      </c>
      <c r="H704" s="53"/>
      <c r="I704" s="66"/>
      <c r="J704" s="53"/>
      <c r="K704" s="48" t="str">
        <f ca="1">IF(AND(ISBLANK(Acciones!$D704)=FALSE,ISBLANK(Acciones!$H704)=TRUE),"Faltan fechas",IF(Acciones!$H704="","",IF(AND(Acciones!$H704&gt;=TODAY(),ISBLANK(Acciones!$J704)=TRUE),"En tiempo",IF(AND(Acciones!$H704&lt;TODAY(),Acciones!$J704=""),"Retrasado",IF(Acciones!$J704&gt;Acciones!$H704,"Cerrado con retraso","Cerrado")))))</f>
        <v/>
      </c>
      <c r="L704" s="61"/>
      <c r="M704" s="74"/>
      <c r="T704" s="26"/>
      <c r="U704" s="26"/>
    </row>
    <row r="705" spans="2:21" x14ac:dyDescent="0.3">
      <c r="B705" s="53"/>
      <c r="C705" s="65"/>
      <c r="D705" s="61"/>
      <c r="E705" s="56"/>
      <c r="F705" s="53"/>
      <c r="G705" s="53" t="str">
        <f>IF(ISBLANK(Acciones!$H705)=TRUE," ",WEEKNUM(Acciones!$H705,21))</f>
        <v xml:space="preserve"> </v>
      </c>
      <c r="H705" s="53"/>
      <c r="I705" s="66"/>
      <c r="J705" s="53"/>
      <c r="K705" s="48" t="str">
        <f ca="1">IF(AND(ISBLANK(Acciones!$D705)=FALSE,ISBLANK(Acciones!$H705)=TRUE),"Faltan fechas",IF(Acciones!$H705="","",IF(AND(Acciones!$H705&gt;=TODAY(),ISBLANK(Acciones!$J705)=TRUE),"En tiempo",IF(AND(Acciones!$H705&lt;TODAY(),Acciones!$J705=""),"Retrasado",IF(Acciones!$J705&gt;Acciones!$H705,"Cerrado con retraso","Cerrado")))))</f>
        <v/>
      </c>
      <c r="L705" s="61"/>
      <c r="M705" s="74"/>
      <c r="T705" s="26"/>
      <c r="U705" s="26"/>
    </row>
    <row r="706" spans="2:21" x14ac:dyDescent="0.3">
      <c r="B706" s="53"/>
      <c r="C706" s="65"/>
      <c r="D706" s="61"/>
      <c r="E706" s="56"/>
      <c r="F706" s="53"/>
      <c r="G706" s="53" t="str">
        <f>IF(ISBLANK(Acciones!$H706)=TRUE," ",WEEKNUM(Acciones!$H706,21))</f>
        <v xml:space="preserve"> </v>
      </c>
      <c r="H706" s="53"/>
      <c r="I706" s="66"/>
      <c r="J706" s="53"/>
      <c r="K706" s="48" t="str">
        <f ca="1">IF(AND(ISBLANK(Acciones!$D706)=FALSE,ISBLANK(Acciones!$H706)=TRUE),"Faltan fechas",IF(Acciones!$H706="","",IF(AND(Acciones!$H706&gt;=TODAY(),ISBLANK(Acciones!$J706)=TRUE),"En tiempo",IF(AND(Acciones!$H706&lt;TODAY(),Acciones!$J706=""),"Retrasado",IF(Acciones!$J706&gt;Acciones!$H706,"Cerrado con retraso","Cerrado")))))</f>
        <v/>
      </c>
      <c r="L706" s="61"/>
      <c r="M706" s="74"/>
      <c r="T706" s="26"/>
      <c r="U706" s="26"/>
    </row>
    <row r="707" spans="2:21" x14ac:dyDescent="0.3">
      <c r="B707" s="53"/>
      <c r="C707" s="65"/>
      <c r="D707" s="61"/>
      <c r="E707" s="56"/>
      <c r="F707" s="53"/>
      <c r="G707" s="53" t="str">
        <f>IF(ISBLANK(Acciones!$H707)=TRUE," ",WEEKNUM(Acciones!$H707,21))</f>
        <v xml:space="preserve"> </v>
      </c>
      <c r="H707" s="53"/>
      <c r="I707" s="66"/>
      <c r="J707" s="53"/>
      <c r="K707" s="48" t="str">
        <f ca="1">IF(AND(ISBLANK(Acciones!$D707)=FALSE,ISBLANK(Acciones!$H707)=TRUE),"Faltan fechas",IF(Acciones!$H707="","",IF(AND(Acciones!$H707&gt;=TODAY(),ISBLANK(Acciones!$J707)=TRUE),"En tiempo",IF(AND(Acciones!$H707&lt;TODAY(),Acciones!$J707=""),"Retrasado",IF(Acciones!$J707&gt;Acciones!$H707,"Cerrado con retraso","Cerrado")))))</f>
        <v/>
      </c>
      <c r="L707" s="61"/>
      <c r="M707" s="74"/>
      <c r="T707" s="26"/>
      <c r="U707" s="26"/>
    </row>
    <row r="708" spans="2:21" x14ac:dyDescent="0.3">
      <c r="B708" s="53"/>
      <c r="C708" s="65"/>
      <c r="D708" s="61"/>
      <c r="E708" s="56"/>
      <c r="F708" s="53"/>
      <c r="G708" s="53" t="str">
        <f>IF(ISBLANK(Acciones!$H708)=TRUE," ",WEEKNUM(Acciones!$H708,21))</f>
        <v xml:space="preserve"> </v>
      </c>
      <c r="H708" s="53"/>
      <c r="I708" s="66"/>
      <c r="J708" s="53"/>
      <c r="K708" s="48" t="str">
        <f ca="1">IF(AND(ISBLANK(Acciones!$D708)=FALSE,ISBLANK(Acciones!$H708)=TRUE),"Faltan fechas",IF(Acciones!$H708="","",IF(AND(Acciones!$H708&gt;=TODAY(),ISBLANK(Acciones!$J708)=TRUE),"En tiempo",IF(AND(Acciones!$H708&lt;TODAY(),Acciones!$J708=""),"Retrasado",IF(Acciones!$J708&gt;Acciones!$H708,"Cerrado con retraso","Cerrado")))))</f>
        <v/>
      </c>
      <c r="L708" s="61"/>
      <c r="M708" s="74"/>
      <c r="T708" s="26"/>
      <c r="U708" s="26"/>
    </row>
    <row r="709" spans="2:21" x14ac:dyDescent="0.3">
      <c r="B709" s="53"/>
      <c r="C709" s="65"/>
      <c r="D709" s="61"/>
      <c r="E709" s="56"/>
      <c r="F709" s="53"/>
      <c r="G709" s="53" t="str">
        <f>IF(ISBLANK(Acciones!$H709)=TRUE," ",WEEKNUM(Acciones!$H709,21))</f>
        <v xml:space="preserve"> </v>
      </c>
      <c r="H709" s="53"/>
      <c r="I709" s="66"/>
      <c r="J709" s="53"/>
      <c r="K709" s="48" t="str">
        <f ca="1">IF(AND(ISBLANK(Acciones!$D709)=FALSE,ISBLANK(Acciones!$H709)=TRUE),"Faltan fechas",IF(Acciones!$H709="","",IF(AND(Acciones!$H709&gt;=TODAY(),ISBLANK(Acciones!$J709)=TRUE),"En tiempo",IF(AND(Acciones!$H709&lt;TODAY(),Acciones!$J709=""),"Retrasado",IF(Acciones!$J709&gt;Acciones!$H709,"Cerrado con retraso","Cerrado")))))</f>
        <v/>
      </c>
      <c r="L709" s="61"/>
      <c r="M709" s="74"/>
      <c r="T709" s="26"/>
      <c r="U709" s="26"/>
    </row>
    <row r="710" spans="2:21" x14ac:dyDescent="0.3">
      <c r="B710" s="53"/>
      <c r="C710" s="65"/>
      <c r="D710" s="61"/>
      <c r="E710" s="56"/>
      <c r="F710" s="53"/>
      <c r="G710" s="53" t="str">
        <f>IF(ISBLANK(Acciones!$H710)=TRUE," ",WEEKNUM(Acciones!$H710,21))</f>
        <v xml:space="preserve"> </v>
      </c>
      <c r="H710" s="53"/>
      <c r="I710" s="66"/>
      <c r="J710" s="53"/>
      <c r="K710" s="48" t="str">
        <f ca="1">IF(AND(ISBLANK(Acciones!$D710)=FALSE,ISBLANK(Acciones!$H710)=TRUE),"Faltan fechas",IF(Acciones!$H710="","",IF(AND(Acciones!$H710&gt;=TODAY(),ISBLANK(Acciones!$J710)=TRUE),"En tiempo",IF(AND(Acciones!$H710&lt;TODAY(),Acciones!$J710=""),"Retrasado",IF(Acciones!$J710&gt;Acciones!$H710,"Cerrado con retraso","Cerrado")))))</f>
        <v/>
      </c>
      <c r="L710" s="61"/>
      <c r="M710" s="74"/>
      <c r="T710" s="26"/>
      <c r="U710" s="26"/>
    </row>
    <row r="711" spans="2:21" x14ac:dyDescent="0.3">
      <c r="B711" s="53"/>
      <c r="C711" s="65"/>
      <c r="D711" s="61"/>
      <c r="E711" s="56"/>
      <c r="F711" s="53"/>
      <c r="G711" s="53" t="str">
        <f>IF(ISBLANK(Acciones!$H711)=TRUE," ",WEEKNUM(Acciones!$H711,21))</f>
        <v xml:space="preserve"> </v>
      </c>
      <c r="H711" s="53"/>
      <c r="I711" s="66"/>
      <c r="J711" s="53"/>
      <c r="K711" s="48" t="str">
        <f ca="1">IF(AND(ISBLANK(Acciones!$D711)=FALSE,ISBLANK(Acciones!$H711)=TRUE),"Faltan fechas",IF(Acciones!$H711="","",IF(AND(Acciones!$H711&gt;=TODAY(),ISBLANK(Acciones!$J711)=TRUE),"En tiempo",IF(AND(Acciones!$H711&lt;TODAY(),Acciones!$J711=""),"Retrasado",IF(Acciones!$J711&gt;Acciones!$H711,"Cerrado con retraso","Cerrado")))))</f>
        <v/>
      </c>
      <c r="L711" s="61"/>
      <c r="M711" s="74"/>
      <c r="T711" s="26"/>
      <c r="U711" s="26"/>
    </row>
    <row r="712" spans="2:21" x14ac:dyDescent="0.3">
      <c r="B712" s="53"/>
      <c r="C712" s="65"/>
      <c r="D712" s="61"/>
      <c r="E712" s="56"/>
      <c r="F712" s="53"/>
      <c r="G712" s="53" t="str">
        <f>IF(ISBLANK(Acciones!$H712)=TRUE," ",WEEKNUM(Acciones!$H712,21))</f>
        <v xml:space="preserve"> </v>
      </c>
      <c r="H712" s="53"/>
      <c r="I712" s="66"/>
      <c r="J712" s="53"/>
      <c r="K712" s="48" t="str">
        <f ca="1">IF(AND(ISBLANK(Acciones!$D712)=FALSE,ISBLANK(Acciones!$H712)=TRUE),"Faltan fechas",IF(Acciones!$H712="","",IF(AND(Acciones!$H712&gt;=TODAY(),ISBLANK(Acciones!$J712)=TRUE),"En tiempo",IF(AND(Acciones!$H712&lt;TODAY(),Acciones!$J712=""),"Retrasado",IF(Acciones!$J712&gt;Acciones!$H712,"Cerrado con retraso","Cerrado")))))</f>
        <v/>
      </c>
      <c r="L712" s="61"/>
      <c r="M712" s="74"/>
      <c r="T712" s="26"/>
      <c r="U712" s="26"/>
    </row>
    <row r="713" spans="2:21" x14ac:dyDescent="0.3">
      <c r="B713" s="53"/>
      <c r="C713" s="65"/>
      <c r="D713" s="61"/>
      <c r="E713" s="56"/>
      <c r="F713" s="53"/>
      <c r="G713" s="53" t="str">
        <f>IF(ISBLANK(Acciones!$H713)=TRUE," ",WEEKNUM(Acciones!$H713,21))</f>
        <v xml:space="preserve"> </v>
      </c>
      <c r="H713" s="53"/>
      <c r="I713" s="66"/>
      <c r="J713" s="53"/>
      <c r="K713" s="48" t="str">
        <f ca="1">IF(AND(ISBLANK(Acciones!$D713)=FALSE,ISBLANK(Acciones!$H713)=TRUE),"Faltan fechas",IF(Acciones!$H713="","",IF(AND(Acciones!$H713&gt;=TODAY(),ISBLANK(Acciones!$J713)=TRUE),"En tiempo",IF(AND(Acciones!$H713&lt;TODAY(),Acciones!$J713=""),"Retrasado",IF(Acciones!$J713&gt;Acciones!$H713,"Cerrado con retraso","Cerrado")))))</f>
        <v/>
      </c>
      <c r="L713" s="61"/>
      <c r="M713" s="74"/>
      <c r="T713" s="26"/>
      <c r="U713" s="26"/>
    </row>
    <row r="714" spans="2:21" x14ac:dyDescent="0.3">
      <c r="B714" s="53"/>
      <c r="C714" s="65"/>
      <c r="D714" s="61"/>
      <c r="E714" s="56"/>
      <c r="F714" s="53"/>
      <c r="G714" s="53" t="str">
        <f>IF(ISBLANK(Acciones!$H714)=TRUE," ",WEEKNUM(Acciones!$H714,21))</f>
        <v xml:space="preserve"> </v>
      </c>
      <c r="H714" s="53"/>
      <c r="I714" s="66"/>
      <c r="J714" s="53"/>
      <c r="K714" s="48" t="str">
        <f ca="1">IF(AND(ISBLANK(Acciones!$D714)=FALSE,ISBLANK(Acciones!$H714)=TRUE),"Faltan fechas",IF(Acciones!$H714="","",IF(AND(Acciones!$H714&gt;=TODAY(),ISBLANK(Acciones!$J714)=TRUE),"En tiempo",IF(AND(Acciones!$H714&lt;TODAY(),Acciones!$J714=""),"Retrasado",IF(Acciones!$J714&gt;Acciones!$H714,"Cerrado con retraso","Cerrado")))))</f>
        <v/>
      </c>
      <c r="L714" s="61"/>
      <c r="M714" s="74"/>
      <c r="T714" s="26"/>
      <c r="U714" s="26"/>
    </row>
    <row r="715" spans="2:21" x14ac:dyDescent="0.3">
      <c r="B715" s="53"/>
      <c r="C715" s="65"/>
      <c r="D715" s="61"/>
      <c r="E715" s="56"/>
      <c r="F715" s="53"/>
      <c r="G715" s="53" t="str">
        <f>IF(ISBLANK(Acciones!$H715)=TRUE," ",WEEKNUM(Acciones!$H715,21))</f>
        <v xml:space="preserve"> </v>
      </c>
      <c r="H715" s="53"/>
      <c r="I715" s="66"/>
      <c r="J715" s="53"/>
      <c r="K715" s="48" t="str">
        <f ca="1">IF(AND(ISBLANK(Acciones!$D715)=FALSE,ISBLANK(Acciones!$H715)=TRUE),"Faltan fechas",IF(Acciones!$H715="","",IF(AND(Acciones!$H715&gt;=TODAY(),ISBLANK(Acciones!$J715)=TRUE),"En tiempo",IF(AND(Acciones!$H715&lt;TODAY(),Acciones!$J715=""),"Retrasado",IF(Acciones!$J715&gt;Acciones!$H715,"Cerrado con retraso","Cerrado")))))</f>
        <v/>
      </c>
      <c r="L715" s="61"/>
      <c r="M715" s="74"/>
      <c r="T715" s="26"/>
      <c r="U715" s="26"/>
    </row>
    <row r="716" spans="2:21" x14ac:dyDescent="0.3">
      <c r="B716" s="53"/>
      <c r="C716" s="65"/>
      <c r="D716" s="61"/>
      <c r="E716" s="56"/>
      <c r="F716" s="53"/>
      <c r="G716" s="53" t="str">
        <f>IF(ISBLANK(Acciones!$H716)=TRUE," ",WEEKNUM(Acciones!$H716,21))</f>
        <v xml:space="preserve"> </v>
      </c>
      <c r="H716" s="53"/>
      <c r="I716" s="66"/>
      <c r="J716" s="53"/>
      <c r="K716" s="48" t="str">
        <f ca="1">IF(AND(ISBLANK(Acciones!$D716)=FALSE,ISBLANK(Acciones!$H716)=TRUE),"Faltan fechas",IF(Acciones!$H716="","",IF(AND(Acciones!$H716&gt;=TODAY(),ISBLANK(Acciones!$J716)=TRUE),"En tiempo",IF(AND(Acciones!$H716&lt;TODAY(),Acciones!$J716=""),"Retrasado",IF(Acciones!$J716&gt;Acciones!$H716,"Cerrado con retraso","Cerrado")))))</f>
        <v/>
      </c>
      <c r="L716" s="61"/>
      <c r="M716" s="74"/>
      <c r="T716" s="26"/>
      <c r="U716" s="26"/>
    </row>
    <row r="717" spans="2:21" x14ac:dyDescent="0.3">
      <c r="B717" s="53"/>
      <c r="C717" s="65"/>
      <c r="D717" s="61"/>
      <c r="E717" s="56"/>
      <c r="F717" s="53"/>
      <c r="G717" s="53" t="str">
        <f>IF(ISBLANK(Acciones!$H717)=TRUE," ",WEEKNUM(Acciones!$H717,21))</f>
        <v xml:space="preserve"> </v>
      </c>
      <c r="H717" s="53"/>
      <c r="I717" s="66"/>
      <c r="J717" s="53"/>
      <c r="K717" s="48" t="str">
        <f ca="1">IF(AND(ISBLANK(Acciones!$D717)=FALSE,ISBLANK(Acciones!$H717)=TRUE),"Faltan fechas",IF(Acciones!$H717="","",IF(AND(Acciones!$H717&gt;=TODAY(),ISBLANK(Acciones!$J717)=TRUE),"En tiempo",IF(AND(Acciones!$H717&lt;TODAY(),Acciones!$J717=""),"Retrasado",IF(Acciones!$J717&gt;Acciones!$H717,"Cerrado con retraso","Cerrado")))))</f>
        <v/>
      </c>
      <c r="L717" s="61"/>
      <c r="M717" s="74"/>
      <c r="T717" s="26"/>
      <c r="U717" s="26"/>
    </row>
    <row r="718" spans="2:21" x14ac:dyDescent="0.3">
      <c r="B718" s="53"/>
      <c r="C718" s="65"/>
      <c r="D718" s="61"/>
      <c r="E718" s="56"/>
      <c r="F718" s="53"/>
      <c r="G718" s="53" t="str">
        <f>IF(ISBLANK(Acciones!$H718)=TRUE," ",WEEKNUM(Acciones!$H718,21))</f>
        <v xml:space="preserve"> </v>
      </c>
      <c r="H718" s="53"/>
      <c r="I718" s="66"/>
      <c r="J718" s="53"/>
      <c r="K718" s="48" t="str">
        <f ca="1">IF(AND(ISBLANK(Acciones!$D718)=FALSE,ISBLANK(Acciones!$H718)=TRUE),"Faltan fechas",IF(Acciones!$H718="","",IF(AND(Acciones!$H718&gt;=TODAY(),ISBLANK(Acciones!$J718)=TRUE),"En tiempo",IF(AND(Acciones!$H718&lt;TODAY(),Acciones!$J718=""),"Retrasado",IF(Acciones!$J718&gt;Acciones!$H718,"Cerrado con retraso","Cerrado")))))</f>
        <v/>
      </c>
      <c r="L718" s="61"/>
      <c r="M718" s="74"/>
      <c r="T718" s="26"/>
      <c r="U718" s="26"/>
    </row>
    <row r="719" spans="2:21" x14ac:dyDescent="0.3">
      <c r="B719" s="53"/>
      <c r="C719" s="65"/>
      <c r="D719" s="61"/>
      <c r="E719" s="56"/>
      <c r="F719" s="53"/>
      <c r="G719" s="53" t="str">
        <f>IF(ISBLANK(Acciones!$H719)=TRUE," ",WEEKNUM(Acciones!$H719,21))</f>
        <v xml:space="preserve"> </v>
      </c>
      <c r="H719" s="53"/>
      <c r="I719" s="66"/>
      <c r="J719" s="53"/>
      <c r="K719" s="48" t="str">
        <f ca="1">IF(AND(ISBLANK(Acciones!$D719)=FALSE,ISBLANK(Acciones!$H719)=TRUE),"Faltan fechas",IF(Acciones!$H719="","",IF(AND(Acciones!$H719&gt;=TODAY(),ISBLANK(Acciones!$J719)=TRUE),"En tiempo",IF(AND(Acciones!$H719&lt;TODAY(),Acciones!$J719=""),"Retrasado",IF(Acciones!$J719&gt;Acciones!$H719,"Cerrado con retraso","Cerrado")))))</f>
        <v/>
      </c>
      <c r="L719" s="61"/>
      <c r="M719" s="74"/>
      <c r="T719" s="26"/>
      <c r="U719" s="26"/>
    </row>
    <row r="720" spans="2:21" x14ac:dyDescent="0.3">
      <c r="B720" s="53"/>
      <c r="C720" s="65"/>
      <c r="D720" s="61"/>
      <c r="E720" s="56"/>
      <c r="F720" s="53"/>
      <c r="G720" s="53" t="str">
        <f>IF(ISBLANK(Acciones!$H720)=TRUE," ",WEEKNUM(Acciones!$H720,21))</f>
        <v xml:space="preserve"> </v>
      </c>
      <c r="H720" s="53"/>
      <c r="I720" s="66"/>
      <c r="J720" s="53"/>
      <c r="K720" s="48" t="str">
        <f ca="1">IF(AND(ISBLANK(Acciones!$D720)=FALSE,ISBLANK(Acciones!$H720)=TRUE),"Faltan fechas",IF(Acciones!$H720="","",IF(AND(Acciones!$H720&gt;=TODAY(),ISBLANK(Acciones!$J720)=TRUE),"En tiempo",IF(AND(Acciones!$H720&lt;TODAY(),Acciones!$J720=""),"Retrasado",IF(Acciones!$J720&gt;Acciones!$H720,"Cerrado con retraso","Cerrado")))))</f>
        <v/>
      </c>
      <c r="L720" s="61"/>
      <c r="M720" s="74"/>
      <c r="T720" s="26"/>
      <c r="U720" s="26"/>
    </row>
    <row r="721" spans="2:21" x14ac:dyDescent="0.3">
      <c r="B721" s="53"/>
      <c r="C721" s="65"/>
      <c r="D721" s="61"/>
      <c r="E721" s="56"/>
      <c r="F721" s="53"/>
      <c r="G721" s="53" t="str">
        <f>IF(ISBLANK(Acciones!$H721)=TRUE," ",WEEKNUM(Acciones!$H721,21))</f>
        <v xml:space="preserve"> </v>
      </c>
      <c r="H721" s="53"/>
      <c r="I721" s="66"/>
      <c r="J721" s="53"/>
      <c r="K721" s="48" t="str">
        <f ca="1">IF(AND(ISBLANK(Acciones!$D721)=FALSE,ISBLANK(Acciones!$H721)=TRUE),"Faltan fechas",IF(Acciones!$H721="","",IF(AND(Acciones!$H721&gt;=TODAY(),ISBLANK(Acciones!$J721)=TRUE),"En tiempo",IF(AND(Acciones!$H721&lt;TODAY(),Acciones!$J721=""),"Retrasado",IF(Acciones!$J721&gt;Acciones!$H721,"Cerrado con retraso","Cerrado")))))</f>
        <v/>
      </c>
      <c r="L721" s="61"/>
      <c r="M721" s="74"/>
      <c r="T721" s="26"/>
      <c r="U721" s="26"/>
    </row>
    <row r="722" spans="2:21" x14ac:dyDescent="0.3">
      <c r="B722" s="53"/>
      <c r="C722" s="65"/>
      <c r="D722" s="61"/>
      <c r="E722" s="56"/>
      <c r="F722" s="53"/>
      <c r="G722" s="53" t="str">
        <f>IF(ISBLANK(Acciones!$H722)=TRUE," ",WEEKNUM(Acciones!$H722,21))</f>
        <v xml:space="preserve"> </v>
      </c>
      <c r="H722" s="53"/>
      <c r="I722" s="66"/>
      <c r="J722" s="53"/>
      <c r="K722" s="48" t="str">
        <f ca="1">IF(AND(ISBLANK(Acciones!$D722)=FALSE,ISBLANK(Acciones!$H722)=TRUE),"Faltan fechas",IF(Acciones!$H722="","",IF(AND(Acciones!$H722&gt;=TODAY(),ISBLANK(Acciones!$J722)=TRUE),"En tiempo",IF(AND(Acciones!$H722&lt;TODAY(),Acciones!$J722=""),"Retrasado",IF(Acciones!$J722&gt;Acciones!$H722,"Cerrado con retraso","Cerrado")))))</f>
        <v/>
      </c>
      <c r="L722" s="61"/>
      <c r="M722" s="74"/>
      <c r="T722" s="26"/>
      <c r="U722" s="26"/>
    </row>
    <row r="723" spans="2:21" x14ac:dyDescent="0.3">
      <c r="B723" s="53"/>
      <c r="C723" s="65"/>
      <c r="D723" s="61"/>
      <c r="E723" s="56"/>
      <c r="F723" s="53"/>
      <c r="G723" s="53" t="str">
        <f>IF(ISBLANK(Acciones!$H723)=TRUE," ",WEEKNUM(Acciones!$H723,21))</f>
        <v xml:space="preserve"> </v>
      </c>
      <c r="H723" s="53"/>
      <c r="I723" s="66"/>
      <c r="J723" s="53"/>
      <c r="K723" s="48" t="str">
        <f ca="1">IF(AND(ISBLANK(Acciones!$D723)=FALSE,ISBLANK(Acciones!$H723)=TRUE),"Faltan fechas",IF(Acciones!$H723="","",IF(AND(Acciones!$H723&gt;=TODAY(),ISBLANK(Acciones!$J723)=TRUE),"En tiempo",IF(AND(Acciones!$H723&lt;TODAY(),Acciones!$J723=""),"Retrasado",IF(Acciones!$J723&gt;Acciones!$H723,"Cerrado con retraso","Cerrado")))))</f>
        <v/>
      </c>
      <c r="L723" s="61"/>
      <c r="M723" s="74"/>
      <c r="T723" s="26"/>
      <c r="U723" s="26"/>
    </row>
    <row r="724" spans="2:21" x14ac:dyDescent="0.3">
      <c r="B724" s="53"/>
      <c r="C724" s="65"/>
      <c r="D724" s="61"/>
      <c r="E724" s="56"/>
      <c r="F724" s="53"/>
      <c r="G724" s="53" t="str">
        <f>IF(ISBLANK(Acciones!$H724)=TRUE," ",WEEKNUM(Acciones!$H724,21))</f>
        <v xml:space="preserve"> </v>
      </c>
      <c r="H724" s="53"/>
      <c r="I724" s="66"/>
      <c r="J724" s="53"/>
      <c r="K724" s="48" t="str">
        <f ca="1">IF(AND(ISBLANK(Acciones!$D724)=FALSE,ISBLANK(Acciones!$H724)=TRUE),"Faltan fechas",IF(Acciones!$H724="","",IF(AND(Acciones!$H724&gt;=TODAY(),ISBLANK(Acciones!$J724)=TRUE),"En tiempo",IF(AND(Acciones!$H724&lt;TODAY(),Acciones!$J724=""),"Retrasado",IF(Acciones!$J724&gt;Acciones!$H724,"Cerrado con retraso","Cerrado")))))</f>
        <v/>
      </c>
      <c r="L724" s="61"/>
      <c r="M724" s="74"/>
      <c r="T724" s="26"/>
      <c r="U724" s="26"/>
    </row>
    <row r="725" spans="2:21" x14ac:dyDescent="0.3">
      <c r="B725" s="53"/>
      <c r="C725" s="65"/>
      <c r="D725" s="61"/>
      <c r="E725" s="56"/>
      <c r="F725" s="53"/>
      <c r="G725" s="53" t="str">
        <f>IF(ISBLANK(Acciones!$H725)=TRUE," ",WEEKNUM(Acciones!$H725,21))</f>
        <v xml:space="preserve"> </v>
      </c>
      <c r="H725" s="53"/>
      <c r="I725" s="66"/>
      <c r="J725" s="53"/>
      <c r="K725" s="48" t="str">
        <f ca="1">IF(AND(ISBLANK(Acciones!$D725)=FALSE,ISBLANK(Acciones!$H725)=TRUE),"Faltan fechas",IF(Acciones!$H725="","",IF(AND(Acciones!$H725&gt;=TODAY(),ISBLANK(Acciones!$J725)=TRUE),"En tiempo",IF(AND(Acciones!$H725&lt;TODAY(),Acciones!$J725=""),"Retrasado",IF(Acciones!$J725&gt;Acciones!$H725,"Cerrado con retraso","Cerrado")))))</f>
        <v/>
      </c>
      <c r="L725" s="61"/>
      <c r="M725" s="74"/>
      <c r="T725" s="26"/>
      <c r="U725" s="26"/>
    </row>
    <row r="726" spans="2:21" x14ac:dyDescent="0.3">
      <c r="B726" s="53"/>
      <c r="C726" s="65"/>
      <c r="D726" s="61"/>
      <c r="E726" s="56"/>
      <c r="F726" s="53"/>
      <c r="G726" s="53" t="str">
        <f>IF(ISBLANK(Acciones!$H726)=TRUE," ",WEEKNUM(Acciones!$H726,21))</f>
        <v xml:space="preserve"> </v>
      </c>
      <c r="H726" s="53"/>
      <c r="I726" s="66"/>
      <c r="J726" s="53"/>
      <c r="K726" s="48" t="str">
        <f ca="1">IF(AND(ISBLANK(Acciones!$D726)=FALSE,ISBLANK(Acciones!$H726)=TRUE),"Faltan fechas",IF(Acciones!$H726="","",IF(AND(Acciones!$H726&gt;=TODAY(),ISBLANK(Acciones!$J726)=TRUE),"En tiempo",IF(AND(Acciones!$H726&lt;TODAY(),Acciones!$J726=""),"Retrasado",IF(Acciones!$J726&gt;Acciones!$H726,"Cerrado con retraso","Cerrado")))))</f>
        <v/>
      </c>
      <c r="L726" s="61"/>
      <c r="M726" s="74"/>
      <c r="T726" s="26"/>
      <c r="U726" s="26"/>
    </row>
    <row r="727" spans="2:21" x14ac:dyDescent="0.3">
      <c r="B727" s="53"/>
      <c r="C727" s="65"/>
      <c r="D727" s="61"/>
      <c r="E727" s="56"/>
      <c r="F727" s="53"/>
      <c r="G727" s="53" t="str">
        <f>IF(ISBLANK(Acciones!$H727)=TRUE," ",WEEKNUM(Acciones!$H727,21))</f>
        <v xml:space="preserve"> </v>
      </c>
      <c r="H727" s="53"/>
      <c r="I727" s="66"/>
      <c r="J727" s="53"/>
      <c r="K727" s="48" t="str">
        <f ca="1">IF(AND(ISBLANK(Acciones!$D727)=FALSE,ISBLANK(Acciones!$H727)=TRUE),"Faltan fechas",IF(Acciones!$H727="","",IF(AND(Acciones!$H727&gt;=TODAY(),ISBLANK(Acciones!$J727)=TRUE),"En tiempo",IF(AND(Acciones!$H727&lt;TODAY(),Acciones!$J727=""),"Retrasado",IF(Acciones!$J727&gt;Acciones!$H727,"Cerrado con retraso","Cerrado")))))</f>
        <v/>
      </c>
      <c r="L727" s="61"/>
      <c r="M727" s="74"/>
      <c r="T727" s="26"/>
      <c r="U727" s="26"/>
    </row>
    <row r="728" spans="2:21" x14ac:dyDescent="0.3">
      <c r="B728" s="53"/>
      <c r="C728" s="65"/>
      <c r="D728" s="61"/>
      <c r="E728" s="56"/>
      <c r="F728" s="53"/>
      <c r="G728" s="53" t="str">
        <f>IF(ISBLANK(Acciones!$H728)=TRUE," ",WEEKNUM(Acciones!$H728,21))</f>
        <v xml:space="preserve"> </v>
      </c>
      <c r="H728" s="53"/>
      <c r="I728" s="66"/>
      <c r="J728" s="53"/>
      <c r="K728" s="48" t="str">
        <f ca="1">IF(AND(ISBLANK(Acciones!$D728)=FALSE,ISBLANK(Acciones!$H728)=TRUE),"Faltan fechas",IF(Acciones!$H728="","",IF(AND(Acciones!$H728&gt;=TODAY(),ISBLANK(Acciones!$J728)=TRUE),"En tiempo",IF(AND(Acciones!$H728&lt;TODAY(),Acciones!$J728=""),"Retrasado",IF(Acciones!$J728&gt;Acciones!$H728,"Cerrado con retraso","Cerrado")))))</f>
        <v/>
      </c>
      <c r="L728" s="61"/>
      <c r="M728" s="74"/>
      <c r="T728" s="26"/>
      <c r="U728" s="26"/>
    </row>
    <row r="729" spans="2:21" x14ac:dyDescent="0.3">
      <c r="B729" s="53"/>
      <c r="C729" s="65"/>
      <c r="D729" s="61"/>
      <c r="E729" s="56"/>
      <c r="F729" s="53"/>
      <c r="G729" s="53" t="str">
        <f>IF(ISBLANK(Acciones!$H729)=TRUE," ",WEEKNUM(Acciones!$H729,21))</f>
        <v xml:space="preserve"> </v>
      </c>
      <c r="H729" s="53"/>
      <c r="I729" s="66"/>
      <c r="J729" s="53"/>
      <c r="K729" s="48" t="str">
        <f ca="1">IF(AND(ISBLANK(Acciones!$D729)=FALSE,ISBLANK(Acciones!$H729)=TRUE),"Faltan fechas",IF(Acciones!$H729="","",IF(AND(Acciones!$H729&gt;=TODAY(),ISBLANK(Acciones!$J729)=TRUE),"En tiempo",IF(AND(Acciones!$H729&lt;TODAY(),Acciones!$J729=""),"Retrasado",IF(Acciones!$J729&gt;Acciones!$H729,"Cerrado con retraso","Cerrado")))))</f>
        <v/>
      </c>
      <c r="L729" s="61"/>
      <c r="M729" s="74"/>
      <c r="T729" s="26"/>
      <c r="U729" s="26"/>
    </row>
    <row r="730" spans="2:21" x14ac:dyDescent="0.3">
      <c r="B730" s="53"/>
      <c r="C730" s="65"/>
      <c r="D730" s="61"/>
      <c r="E730" s="56"/>
      <c r="F730" s="53"/>
      <c r="G730" s="53" t="str">
        <f>IF(ISBLANK(Acciones!$H730)=TRUE," ",WEEKNUM(Acciones!$H730,21))</f>
        <v xml:space="preserve"> </v>
      </c>
      <c r="H730" s="53"/>
      <c r="I730" s="66"/>
      <c r="J730" s="53"/>
      <c r="K730" s="48" t="str">
        <f ca="1">IF(AND(ISBLANK(Acciones!$D730)=FALSE,ISBLANK(Acciones!$H730)=TRUE),"Faltan fechas",IF(Acciones!$H730="","",IF(AND(Acciones!$H730&gt;=TODAY(),ISBLANK(Acciones!$J730)=TRUE),"En tiempo",IF(AND(Acciones!$H730&lt;TODAY(),Acciones!$J730=""),"Retrasado",IF(Acciones!$J730&gt;Acciones!$H730,"Cerrado con retraso","Cerrado")))))</f>
        <v/>
      </c>
      <c r="L730" s="61"/>
      <c r="M730" s="74"/>
      <c r="T730" s="26"/>
      <c r="U730" s="26"/>
    </row>
    <row r="731" spans="2:21" x14ac:dyDescent="0.3">
      <c r="B731" s="53"/>
      <c r="C731" s="65"/>
      <c r="D731" s="61"/>
      <c r="E731" s="56"/>
      <c r="F731" s="53"/>
      <c r="G731" s="53" t="str">
        <f>IF(ISBLANK(Acciones!$H731)=TRUE," ",WEEKNUM(Acciones!$H731,21))</f>
        <v xml:space="preserve"> </v>
      </c>
      <c r="H731" s="53"/>
      <c r="I731" s="66"/>
      <c r="J731" s="53"/>
      <c r="K731" s="48" t="str">
        <f ca="1">IF(AND(ISBLANK(Acciones!$D731)=FALSE,ISBLANK(Acciones!$H731)=TRUE),"Faltan fechas",IF(Acciones!$H731="","",IF(AND(Acciones!$H731&gt;=TODAY(),ISBLANK(Acciones!$J731)=TRUE),"En tiempo",IF(AND(Acciones!$H731&lt;TODAY(),Acciones!$J731=""),"Retrasado",IF(Acciones!$J731&gt;Acciones!$H731,"Cerrado con retraso","Cerrado")))))</f>
        <v/>
      </c>
      <c r="L731" s="61"/>
      <c r="M731" s="74"/>
      <c r="T731" s="26"/>
      <c r="U731" s="26"/>
    </row>
    <row r="732" spans="2:21" x14ac:dyDescent="0.3">
      <c r="B732" s="53"/>
      <c r="C732" s="65"/>
      <c r="D732" s="61"/>
      <c r="E732" s="56"/>
      <c r="F732" s="53"/>
      <c r="G732" s="53" t="str">
        <f>IF(ISBLANK(Acciones!$H732)=TRUE," ",WEEKNUM(Acciones!$H732,21))</f>
        <v xml:space="preserve"> </v>
      </c>
      <c r="H732" s="53"/>
      <c r="I732" s="66"/>
      <c r="J732" s="53"/>
      <c r="K732" s="48" t="str">
        <f ca="1">IF(AND(ISBLANK(Acciones!$D732)=FALSE,ISBLANK(Acciones!$H732)=TRUE),"Faltan fechas",IF(Acciones!$H732="","",IF(AND(Acciones!$H732&gt;=TODAY(),ISBLANK(Acciones!$J732)=TRUE),"En tiempo",IF(AND(Acciones!$H732&lt;TODAY(),Acciones!$J732=""),"Retrasado",IF(Acciones!$J732&gt;Acciones!$H732,"Cerrado con retraso","Cerrado")))))</f>
        <v/>
      </c>
      <c r="L732" s="61"/>
      <c r="M732" s="74"/>
      <c r="T732" s="26"/>
      <c r="U732" s="26"/>
    </row>
    <row r="733" spans="2:21" x14ac:dyDescent="0.3">
      <c r="B733" s="53"/>
      <c r="C733" s="65"/>
      <c r="D733" s="61"/>
      <c r="E733" s="56"/>
      <c r="F733" s="53"/>
      <c r="G733" s="53" t="str">
        <f>IF(ISBLANK(Acciones!$H733)=TRUE," ",WEEKNUM(Acciones!$H733,21))</f>
        <v xml:space="preserve"> </v>
      </c>
      <c r="H733" s="53"/>
      <c r="I733" s="66"/>
      <c r="J733" s="53"/>
      <c r="K733" s="48" t="str">
        <f ca="1">IF(AND(ISBLANK(Acciones!$D733)=FALSE,ISBLANK(Acciones!$H733)=TRUE),"Faltan fechas",IF(Acciones!$H733="","",IF(AND(Acciones!$H733&gt;=TODAY(),ISBLANK(Acciones!$J733)=TRUE),"En tiempo",IF(AND(Acciones!$H733&lt;TODAY(),Acciones!$J733=""),"Retrasado",IF(Acciones!$J733&gt;Acciones!$H733,"Cerrado con retraso","Cerrado")))))</f>
        <v/>
      </c>
      <c r="L733" s="61"/>
      <c r="M733" s="74"/>
      <c r="T733" s="26"/>
      <c r="U733" s="26"/>
    </row>
    <row r="734" spans="2:21" x14ac:dyDescent="0.3">
      <c r="B734" s="53"/>
      <c r="C734" s="65"/>
      <c r="D734" s="61"/>
      <c r="E734" s="56"/>
      <c r="F734" s="53"/>
      <c r="G734" s="53" t="str">
        <f>IF(ISBLANK(Acciones!$H734)=TRUE," ",WEEKNUM(Acciones!$H734,21))</f>
        <v xml:space="preserve"> </v>
      </c>
      <c r="H734" s="53"/>
      <c r="I734" s="66"/>
      <c r="J734" s="53"/>
      <c r="K734" s="48" t="str">
        <f ca="1">IF(AND(ISBLANK(Acciones!$D734)=FALSE,ISBLANK(Acciones!$H734)=TRUE),"Faltan fechas",IF(Acciones!$H734="","",IF(AND(Acciones!$H734&gt;=TODAY(),ISBLANK(Acciones!$J734)=TRUE),"En tiempo",IF(AND(Acciones!$H734&lt;TODAY(),Acciones!$J734=""),"Retrasado",IF(Acciones!$J734&gt;Acciones!$H734,"Cerrado con retraso","Cerrado")))))</f>
        <v/>
      </c>
      <c r="L734" s="61"/>
      <c r="M734" s="74"/>
      <c r="T734" s="26"/>
      <c r="U734" s="26"/>
    </row>
    <row r="735" spans="2:21" x14ac:dyDescent="0.3">
      <c r="B735" s="53"/>
      <c r="C735" s="65"/>
      <c r="D735" s="61"/>
      <c r="E735" s="56"/>
      <c r="F735" s="53"/>
      <c r="G735" s="53" t="str">
        <f>IF(ISBLANK(Acciones!$H735)=TRUE," ",WEEKNUM(Acciones!$H735,21))</f>
        <v xml:space="preserve"> </v>
      </c>
      <c r="H735" s="53"/>
      <c r="I735" s="66"/>
      <c r="J735" s="53"/>
      <c r="K735" s="48" t="str">
        <f ca="1">IF(AND(ISBLANK(Acciones!$D735)=FALSE,ISBLANK(Acciones!$H735)=TRUE),"Faltan fechas",IF(Acciones!$H735="","",IF(AND(Acciones!$H735&gt;=TODAY(),ISBLANK(Acciones!$J735)=TRUE),"En tiempo",IF(AND(Acciones!$H735&lt;TODAY(),Acciones!$J735=""),"Retrasado",IF(Acciones!$J735&gt;Acciones!$H735,"Cerrado con retraso","Cerrado")))))</f>
        <v/>
      </c>
      <c r="L735" s="61"/>
      <c r="M735" s="74"/>
      <c r="T735" s="26"/>
      <c r="U735" s="26"/>
    </row>
    <row r="736" spans="2:21" x14ac:dyDescent="0.3">
      <c r="B736" s="53"/>
      <c r="C736" s="65"/>
      <c r="D736" s="61"/>
      <c r="E736" s="56"/>
      <c r="F736" s="53"/>
      <c r="G736" s="53" t="str">
        <f>IF(ISBLANK(Acciones!$H736)=TRUE," ",WEEKNUM(Acciones!$H736,21))</f>
        <v xml:space="preserve"> </v>
      </c>
      <c r="H736" s="53"/>
      <c r="I736" s="66"/>
      <c r="J736" s="53"/>
      <c r="K736" s="48" t="str">
        <f ca="1">IF(AND(ISBLANK(Acciones!$D736)=FALSE,ISBLANK(Acciones!$H736)=TRUE),"Faltan fechas",IF(Acciones!$H736="","",IF(AND(Acciones!$H736&gt;=TODAY(),ISBLANK(Acciones!$J736)=TRUE),"En tiempo",IF(AND(Acciones!$H736&lt;TODAY(),Acciones!$J736=""),"Retrasado",IF(Acciones!$J736&gt;Acciones!$H736,"Cerrado con retraso","Cerrado")))))</f>
        <v/>
      </c>
      <c r="L736" s="61"/>
      <c r="M736" s="74"/>
      <c r="T736" s="26"/>
      <c r="U736" s="26"/>
    </row>
    <row r="737" spans="2:21" x14ac:dyDescent="0.3">
      <c r="B737" s="53"/>
      <c r="C737" s="65"/>
      <c r="D737" s="61"/>
      <c r="E737" s="56"/>
      <c r="F737" s="53"/>
      <c r="G737" s="53" t="str">
        <f>IF(ISBLANK(Acciones!$H737)=TRUE," ",WEEKNUM(Acciones!$H737,21))</f>
        <v xml:space="preserve"> </v>
      </c>
      <c r="H737" s="53"/>
      <c r="I737" s="66"/>
      <c r="J737" s="53"/>
      <c r="K737" s="48" t="str">
        <f ca="1">IF(AND(ISBLANK(Acciones!$D737)=FALSE,ISBLANK(Acciones!$H737)=TRUE),"Faltan fechas",IF(Acciones!$H737="","",IF(AND(Acciones!$H737&gt;=TODAY(),ISBLANK(Acciones!$J737)=TRUE),"En tiempo",IF(AND(Acciones!$H737&lt;TODAY(),Acciones!$J737=""),"Retrasado",IF(Acciones!$J737&gt;Acciones!$H737,"Cerrado con retraso","Cerrado")))))</f>
        <v/>
      </c>
      <c r="L737" s="61"/>
      <c r="M737" s="74"/>
      <c r="T737" s="26"/>
      <c r="U737" s="26"/>
    </row>
    <row r="738" spans="2:21" x14ac:dyDescent="0.3">
      <c r="B738" s="53"/>
      <c r="C738" s="65"/>
      <c r="D738" s="61"/>
      <c r="E738" s="56"/>
      <c r="F738" s="53"/>
      <c r="G738" s="53" t="str">
        <f>IF(ISBLANK(Acciones!$H738)=TRUE," ",WEEKNUM(Acciones!$H738,21))</f>
        <v xml:space="preserve"> </v>
      </c>
      <c r="H738" s="53"/>
      <c r="I738" s="66"/>
      <c r="J738" s="53"/>
      <c r="K738" s="48" t="str">
        <f ca="1">IF(AND(ISBLANK(Acciones!$D738)=FALSE,ISBLANK(Acciones!$H738)=TRUE),"Faltan fechas",IF(Acciones!$H738="","",IF(AND(Acciones!$H738&gt;=TODAY(),ISBLANK(Acciones!$J738)=TRUE),"En tiempo",IF(AND(Acciones!$H738&lt;TODAY(),Acciones!$J738=""),"Retrasado",IF(Acciones!$J738&gt;Acciones!$H738,"Cerrado con retraso","Cerrado")))))</f>
        <v/>
      </c>
      <c r="L738" s="61"/>
      <c r="M738" s="74"/>
      <c r="T738" s="26"/>
      <c r="U738" s="26"/>
    </row>
    <row r="739" spans="2:21" x14ac:dyDescent="0.3">
      <c r="B739" s="53"/>
      <c r="C739" s="65"/>
      <c r="D739" s="61"/>
      <c r="E739" s="56"/>
      <c r="F739" s="53"/>
      <c r="G739" s="53" t="str">
        <f>IF(ISBLANK(Acciones!$H739)=TRUE," ",WEEKNUM(Acciones!$H739,21))</f>
        <v xml:space="preserve"> </v>
      </c>
      <c r="H739" s="53"/>
      <c r="I739" s="66"/>
      <c r="J739" s="53"/>
      <c r="K739" s="48" t="str">
        <f ca="1">IF(AND(ISBLANK(Acciones!$D739)=FALSE,ISBLANK(Acciones!$H739)=TRUE),"Faltan fechas",IF(Acciones!$H739="","",IF(AND(Acciones!$H739&gt;=TODAY(),ISBLANK(Acciones!$J739)=TRUE),"En tiempo",IF(AND(Acciones!$H739&lt;TODAY(),Acciones!$J739=""),"Retrasado",IF(Acciones!$J739&gt;Acciones!$H739,"Cerrado con retraso","Cerrado")))))</f>
        <v/>
      </c>
      <c r="L739" s="61"/>
      <c r="M739" s="74"/>
      <c r="T739" s="26"/>
      <c r="U739" s="26"/>
    </row>
    <row r="740" spans="2:21" x14ac:dyDescent="0.3">
      <c r="B740" s="53"/>
      <c r="C740" s="65"/>
      <c r="D740" s="61"/>
      <c r="E740" s="56"/>
      <c r="F740" s="53"/>
      <c r="G740" s="53" t="str">
        <f>IF(ISBLANK(Acciones!$H740)=TRUE," ",WEEKNUM(Acciones!$H740,21))</f>
        <v xml:space="preserve"> </v>
      </c>
      <c r="H740" s="53"/>
      <c r="I740" s="66"/>
      <c r="J740" s="53"/>
      <c r="K740" s="48" t="str">
        <f ca="1">IF(AND(ISBLANK(Acciones!$D740)=FALSE,ISBLANK(Acciones!$H740)=TRUE),"Faltan fechas",IF(Acciones!$H740="","",IF(AND(Acciones!$H740&gt;=TODAY(),ISBLANK(Acciones!$J740)=TRUE),"En tiempo",IF(AND(Acciones!$H740&lt;TODAY(),Acciones!$J740=""),"Retrasado",IF(Acciones!$J740&gt;Acciones!$H740,"Cerrado con retraso","Cerrado")))))</f>
        <v/>
      </c>
      <c r="L740" s="61"/>
      <c r="M740" s="74"/>
      <c r="T740" s="26"/>
      <c r="U740" s="26"/>
    </row>
    <row r="741" spans="2:21" x14ac:dyDescent="0.3">
      <c r="B741" s="53"/>
      <c r="C741" s="65"/>
      <c r="D741" s="61"/>
      <c r="E741" s="56"/>
      <c r="F741" s="53"/>
      <c r="G741" s="53" t="str">
        <f>IF(ISBLANK(Acciones!$H741)=TRUE," ",WEEKNUM(Acciones!$H741,21))</f>
        <v xml:space="preserve"> </v>
      </c>
      <c r="H741" s="53"/>
      <c r="I741" s="66"/>
      <c r="J741" s="53"/>
      <c r="K741" s="48" t="str">
        <f ca="1">IF(AND(ISBLANK(Acciones!$D741)=FALSE,ISBLANK(Acciones!$H741)=TRUE),"Faltan fechas",IF(Acciones!$H741="","",IF(AND(Acciones!$H741&gt;=TODAY(),ISBLANK(Acciones!$J741)=TRUE),"En tiempo",IF(AND(Acciones!$H741&lt;TODAY(),Acciones!$J741=""),"Retrasado",IF(Acciones!$J741&gt;Acciones!$H741,"Cerrado con retraso","Cerrado")))))</f>
        <v/>
      </c>
      <c r="L741" s="61"/>
      <c r="M741" s="74"/>
      <c r="T741" s="26"/>
      <c r="U741" s="26"/>
    </row>
    <row r="742" spans="2:21" x14ac:dyDescent="0.3">
      <c r="B742" s="53"/>
      <c r="C742" s="65"/>
      <c r="D742" s="61"/>
      <c r="E742" s="56"/>
      <c r="F742" s="53"/>
      <c r="G742" s="53" t="str">
        <f>IF(ISBLANK(Acciones!$H742)=TRUE," ",WEEKNUM(Acciones!$H742,21))</f>
        <v xml:space="preserve"> </v>
      </c>
      <c r="H742" s="53"/>
      <c r="I742" s="66"/>
      <c r="J742" s="53"/>
      <c r="K742" s="48" t="str">
        <f ca="1">IF(AND(ISBLANK(Acciones!$D742)=FALSE,ISBLANK(Acciones!$H742)=TRUE),"Faltan fechas",IF(Acciones!$H742="","",IF(AND(Acciones!$H742&gt;=TODAY(),ISBLANK(Acciones!$J742)=TRUE),"En tiempo",IF(AND(Acciones!$H742&lt;TODAY(),Acciones!$J742=""),"Retrasado",IF(Acciones!$J742&gt;Acciones!$H742,"Cerrado con retraso","Cerrado")))))</f>
        <v/>
      </c>
      <c r="L742" s="61"/>
      <c r="M742" s="74"/>
      <c r="T742" s="26"/>
      <c r="U742" s="26"/>
    </row>
    <row r="743" spans="2:21" x14ac:dyDescent="0.3">
      <c r="B743" s="53"/>
      <c r="C743" s="65"/>
      <c r="D743" s="61"/>
      <c r="E743" s="56"/>
      <c r="F743" s="53"/>
      <c r="G743" s="53" t="str">
        <f>IF(ISBLANK(Acciones!$H743)=TRUE," ",WEEKNUM(Acciones!$H743,21))</f>
        <v xml:space="preserve"> </v>
      </c>
      <c r="H743" s="53"/>
      <c r="I743" s="66"/>
      <c r="J743" s="53"/>
      <c r="K743" s="48" t="str">
        <f ca="1">IF(AND(ISBLANK(Acciones!$D743)=FALSE,ISBLANK(Acciones!$H743)=TRUE),"Faltan fechas",IF(Acciones!$H743="","",IF(AND(Acciones!$H743&gt;=TODAY(),ISBLANK(Acciones!$J743)=TRUE),"En tiempo",IF(AND(Acciones!$H743&lt;TODAY(),Acciones!$J743=""),"Retrasado",IF(Acciones!$J743&gt;Acciones!$H743,"Cerrado con retraso","Cerrado")))))</f>
        <v/>
      </c>
      <c r="L743" s="61"/>
      <c r="M743" s="74"/>
      <c r="T743" s="26"/>
      <c r="U743" s="26"/>
    </row>
    <row r="744" spans="2:21" x14ac:dyDescent="0.3">
      <c r="B744" s="53"/>
      <c r="C744" s="65"/>
      <c r="D744" s="61"/>
      <c r="E744" s="56"/>
      <c r="F744" s="53"/>
      <c r="G744" s="53" t="str">
        <f>IF(ISBLANK(Acciones!$H744)=TRUE," ",WEEKNUM(Acciones!$H744,21))</f>
        <v xml:space="preserve"> </v>
      </c>
      <c r="H744" s="53"/>
      <c r="I744" s="66"/>
      <c r="J744" s="53"/>
      <c r="K744" s="48" t="str">
        <f ca="1">IF(AND(ISBLANK(Acciones!$D744)=FALSE,ISBLANK(Acciones!$H744)=TRUE),"Faltan fechas",IF(Acciones!$H744="","",IF(AND(Acciones!$H744&gt;=TODAY(),ISBLANK(Acciones!$J744)=TRUE),"En tiempo",IF(AND(Acciones!$H744&lt;TODAY(),Acciones!$J744=""),"Retrasado",IF(Acciones!$J744&gt;Acciones!$H744,"Cerrado con retraso","Cerrado")))))</f>
        <v/>
      </c>
      <c r="L744" s="61"/>
      <c r="M744" s="74"/>
      <c r="T744" s="26"/>
      <c r="U744" s="26"/>
    </row>
    <row r="745" spans="2:21" x14ac:dyDescent="0.3">
      <c r="B745" s="53"/>
      <c r="C745" s="65"/>
      <c r="D745" s="61"/>
      <c r="E745" s="56"/>
      <c r="F745" s="53"/>
      <c r="G745" s="53" t="str">
        <f>IF(ISBLANK(Acciones!$H745)=TRUE," ",WEEKNUM(Acciones!$H745,21))</f>
        <v xml:space="preserve"> </v>
      </c>
      <c r="H745" s="53"/>
      <c r="I745" s="66"/>
      <c r="J745" s="53"/>
      <c r="K745" s="48" t="str">
        <f ca="1">IF(AND(ISBLANK(Acciones!$D745)=FALSE,ISBLANK(Acciones!$H745)=TRUE),"Faltan fechas",IF(Acciones!$H745="","",IF(AND(Acciones!$H745&gt;=TODAY(),ISBLANK(Acciones!$J745)=TRUE),"En tiempo",IF(AND(Acciones!$H745&lt;TODAY(),Acciones!$J745=""),"Retrasado",IF(Acciones!$J745&gt;Acciones!$H745,"Cerrado con retraso","Cerrado")))))</f>
        <v/>
      </c>
      <c r="L745" s="61"/>
      <c r="M745" s="74"/>
      <c r="T745" s="26"/>
      <c r="U745" s="26"/>
    </row>
    <row r="746" spans="2:21" x14ac:dyDescent="0.3">
      <c r="B746" s="53"/>
      <c r="C746" s="65"/>
      <c r="D746" s="61"/>
      <c r="E746" s="56"/>
      <c r="F746" s="53"/>
      <c r="G746" s="53" t="str">
        <f>IF(ISBLANK(Acciones!$H746)=TRUE," ",WEEKNUM(Acciones!$H746,21))</f>
        <v xml:space="preserve"> </v>
      </c>
      <c r="H746" s="53"/>
      <c r="I746" s="66"/>
      <c r="J746" s="53"/>
      <c r="K746" s="48" t="str">
        <f ca="1">IF(AND(ISBLANK(Acciones!$D746)=FALSE,ISBLANK(Acciones!$H746)=TRUE),"Faltan fechas",IF(Acciones!$H746="","",IF(AND(Acciones!$H746&gt;=TODAY(),ISBLANK(Acciones!$J746)=TRUE),"En tiempo",IF(AND(Acciones!$H746&lt;TODAY(),Acciones!$J746=""),"Retrasado",IF(Acciones!$J746&gt;Acciones!$H746,"Cerrado con retraso","Cerrado")))))</f>
        <v/>
      </c>
      <c r="L746" s="61"/>
      <c r="M746" s="74"/>
      <c r="T746" s="26"/>
      <c r="U746" s="26"/>
    </row>
    <row r="747" spans="2:21" x14ac:dyDescent="0.3">
      <c r="B747" s="53"/>
      <c r="C747" s="65"/>
      <c r="D747" s="61"/>
      <c r="E747" s="56"/>
      <c r="F747" s="53"/>
      <c r="G747" s="53" t="str">
        <f>IF(ISBLANK(Acciones!$H747)=TRUE," ",WEEKNUM(Acciones!$H747,21))</f>
        <v xml:space="preserve"> </v>
      </c>
      <c r="H747" s="53"/>
      <c r="I747" s="66"/>
      <c r="J747" s="53"/>
      <c r="K747" s="48" t="str">
        <f ca="1">IF(AND(ISBLANK(Acciones!$D747)=FALSE,ISBLANK(Acciones!$H747)=TRUE),"Faltan fechas",IF(Acciones!$H747="","",IF(AND(Acciones!$H747&gt;=TODAY(),ISBLANK(Acciones!$J747)=TRUE),"En tiempo",IF(AND(Acciones!$H747&lt;TODAY(),Acciones!$J747=""),"Retrasado",IF(Acciones!$J747&gt;Acciones!$H747,"Cerrado con retraso","Cerrado")))))</f>
        <v/>
      </c>
      <c r="L747" s="61"/>
      <c r="M747" s="74"/>
      <c r="T747" s="26"/>
      <c r="U747" s="26"/>
    </row>
    <row r="748" spans="2:21" x14ac:dyDescent="0.3">
      <c r="B748" s="53"/>
      <c r="C748" s="65"/>
      <c r="D748" s="61"/>
      <c r="E748" s="56"/>
      <c r="F748" s="53"/>
      <c r="G748" s="53" t="str">
        <f>IF(ISBLANK(Acciones!$H748)=TRUE," ",WEEKNUM(Acciones!$H748,21))</f>
        <v xml:space="preserve"> </v>
      </c>
      <c r="H748" s="53"/>
      <c r="I748" s="66"/>
      <c r="J748" s="53"/>
      <c r="K748" s="48" t="str">
        <f ca="1">IF(AND(ISBLANK(Acciones!$D748)=FALSE,ISBLANK(Acciones!$H748)=TRUE),"Faltan fechas",IF(Acciones!$H748="","",IF(AND(Acciones!$H748&gt;=TODAY(),ISBLANK(Acciones!$J748)=TRUE),"En tiempo",IF(AND(Acciones!$H748&lt;TODAY(),Acciones!$J748=""),"Retrasado",IF(Acciones!$J748&gt;Acciones!$H748,"Cerrado con retraso","Cerrado")))))</f>
        <v/>
      </c>
      <c r="L748" s="61"/>
      <c r="M748" s="74"/>
      <c r="T748" s="26"/>
      <c r="U748" s="26"/>
    </row>
    <row r="749" spans="2:21" x14ac:dyDescent="0.3">
      <c r="B749" s="53"/>
      <c r="C749" s="65"/>
      <c r="D749" s="61"/>
      <c r="E749" s="56"/>
      <c r="F749" s="53"/>
      <c r="G749" s="53" t="str">
        <f>IF(ISBLANK(Acciones!$H749)=TRUE," ",WEEKNUM(Acciones!$H749,21))</f>
        <v xml:space="preserve"> </v>
      </c>
      <c r="H749" s="53"/>
      <c r="I749" s="66"/>
      <c r="J749" s="53"/>
      <c r="K749" s="48" t="str">
        <f ca="1">IF(AND(ISBLANK(Acciones!$D749)=FALSE,ISBLANK(Acciones!$H749)=TRUE),"Faltan fechas",IF(Acciones!$H749="","",IF(AND(Acciones!$H749&gt;=TODAY(),ISBLANK(Acciones!$J749)=TRUE),"En tiempo",IF(AND(Acciones!$H749&lt;TODAY(),Acciones!$J749=""),"Retrasado",IF(Acciones!$J749&gt;Acciones!$H749,"Cerrado con retraso","Cerrado")))))</f>
        <v/>
      </c>
      <c r="L749" s="61"/>
      <c r="M749" s="74"/>
      <c r="T749" s="26"/>
      <c r="U749" s="26"/>
    </row>
    <row r="750" spans="2:21" x14ac:dyDescent="0.3">
      <c r="B750" s="53"/>
      <c r="C750" s="65"/>
      <c r="D750" s="61"/>
      <c r="E750" s="56"/>
      <c r="F750" s="53"/>
      <c r="G750" s="53" t="str">
        <f>IF(ISBLANK(Acciones!$H750)=TRUE," ",WEEKNUM(Acciones!$H750,21))</f>
        <v xml:space="preserve"> </v>
      </c>
      <c r="H750" s="53"/>
      <c r="I750" s="66"/>
      <c r="J750" s="53"/>
      <c r="K750" s="48" t="str">
        <f ca="1">IF(AND(ISBLANK(Acciones!$D750)=FALSE,ISBLANK(Acciones!$H750)=TRUE),"Faltan fechas",IF(Acciones!$H750="","",IF(AND(Acciones!$H750&gt;=TODAY(),ISBLANK(Acciones!$J750)=TRUE),"En tiempo",IF(AND(Acciones!$H750&lt;TODAY(),Acciones!$J750=""),"Retrasado",IF(Acciones!$J750&gt;Acciones!$H750,"Cerrado con retraso","Cerrado")))))</f>
        <v/>
      </c>
      <c r="L750" s="61"/>
      <c r="M750" s="74"/>
      <c r="T750" s="26"/>
      <c r="U750" s="26"/>
    </row>
    <row r="751" spans="2:21" x14ac:dyDescent="0.3">
      <c r="B751" s="53"/>
      <c r="C751" s="65"/>
      <c r="D751" s="61"/>
      <c r="E751" s="56"/>
      <c r="F751" s="53"/>
      <c r="G751" s="53" t="str">
        <f>IF(ISBLANK(Acciones!$H751)=TRUE," ",WEEKNUM(Acciones!$H751,21))</f>
        <v xml:space="preserve"> </v>
      </c>
      <c r="H751" s="53"/>
      <c r="I751" s="66"/>
      <c r="J751" s="53"/>
      <c r="K751" s="48" t="str">
        <f ca="1">IF(AND(ISBLANK(Acciones!$D751)=FALSE,ISBLANK(Acciones!$H751)=TRUE),"Faltan fechas",IF(Acciones!$H751="","",IF(AND(Acciones!$H751&gt;=TODAY(),ISBLANK(Acciones!$J751)=TRUE),"En tiempo",IF(AND(Acciones!$H751&lt;TODAY(),Acciones!$J751=""),"Retrasado",IF(Acciones!$J751&gt;Acciones!$H751,"Cerrado con retraso","Cerrado")))))</f>
        <v/>
      </c>
      <c r="L751" s="61"/>
      <c r="M751" s="74"/>
      <c r="T751" s="26"/>
      <c r="U751" s="26"/>
    </row>
    <row r="752" spans="2:21" x14ac:dyDescent="0.3">
      <c r="B752" s="53"/>
      <c r="C752" s="65"/>
      <c r="D752" s="61"/>
      <c r="E752" s="56"/>
      <c r="F752" s="53"/>
      <c r="G752" s="53" t="str">
        <f>IF(ISBLANK(Acciones!$H752)=TRUE," ",WEEKNUM(Acciones!$H752,21))</f>
        <v xml:space="preserve"> </v>
      </c>
      <c r="H752" s="53"/>
      <c r="I752" s="66"/>
      <c r="J752" s="53"/>
      <c r="K752" s="48" t="str">
        <f ca="1">IF(AND(ISBLANK(Acciones!$D752)=FALSE,ISBLANK(Acciones!$H752)=TRUE),"Faltan fechas",IF(Acciones!$H752="","",IF(AND(Acciones!$H752&gt;=TODAY(),ISBLANK(Acciones!$J752)=TRUE),"En tiempo",IF(AND(Acciones!$H752&lt;TODAY(),Acciones!$J752=""),"Retrasado",IF(Acciones!$J752&gt;Acciones!$H752,"Cerrado con retraso","Cerrado")))))</f>
        <v/>
      </c>
      <c r="L752" s="61"/>
      <c r="M752" s="74"/>
      <c r="T752" s="26"/>
      <c r="U752" s="26"/>
    </row>
    <row r="753" spans="2:21" x14ac:dyDescent="0.3">
      <c r="B753" s="53"/>
      <c r="C753" s="65"/>
      <c r="D753" s="61"/>
      <c r="E753" s="56"/>
      <c r="F753" s="53"/>
      <c r="G753" s="53" t="str">
        <f>IF(ISBLANK(Acciones!$H753)=TRUE," ",WEEKNUM(Acciones!$H753,21))</f>
        <v xml:space="preserve"> </v>
      </c>
      <c r="H753" s="53"/>
      <c r="I753" s="66"/>
      <c r="J753" s="53"/>
      <c r="K753" s="48" t="str">
        <f ca="1">IF(AND(ISBLANK(Acciones!$D753)=FALSE,ISBLANK(Acciones!$H753)=TRUE),"Faltan fechas",IF(Acciones!$H753="","",IF(AND(Acciones!$H753&gt;=TODAY(),ISBLANK(Acciones!$J753)=TRUE),"En tiempo",IF(AND(Acciones!$H753&lt;TODAY(),Acciones!$J753=""),"Retrasado",IF(Acciones!$J753&gt;Acciones!$H753,"Cerrado con retraso","Cerrado")))))</f>
        <v/>
      </c>
      <c r="L753" s="61"/>
      <c r="M753" s="74"/>
      <c r="T753" s="26"/>
      <c r="U753" s="26"/>
    </row>
    <row r="754" spans="2:21" x14ac:dyDescent="0.3">
      <c r="B754" s="53"/>
      <c r="C754" s="65"/>
      <c r="D754" s="61"/>
      <c r="E754" s="56"/>
      <c r="F754" s="53"/>
      <c r="G754" s="53" t="str">
        <f>IF(ISBLANK(Acciones!$H754)=TRUE," ",WEEKNUM(Acciones!$H754,21))</f>
        <v xml:space="preserve"> </v>
      </c>
      <c r="H754" s="53"/>
      <c r="I754" s="66"/>
      <c r="J754" s="53"/>
      <c r="K754" s="48" t="str">
        <f ca="1">IF(AND(ISBLANK(Acciones!$D754)=FALSE,ISBLANK(Acciones!$H754)=TRUE),"Faltan fechas",IF(Acciones!$H754="","",IF(AND(Acciones!$H754&gt;=TODAY(),ISBLANK(Acciones!$J754)=TRUE),"En tiempo",IF(AND(Acciones!$H754&lt;TODAY(),Acciones!$J754=""),"Retrasado",IF(Acciones!$J754&gt;Acciones!$H754,"Cerrado con retraso","Cerrado")))))</f>
        <v/>
      </c>
      <c r="L754" s="61"/>
      <c r="M754" s="74"/>
      <c r="T754" s="26"/>
      <c r="U754" s="26"/>
    </row>
    <row r="755" spans="2:21" x14ac:dyDescent="0.3">
      <c r="B755" s="53"/>
      <c r="C755" s="65"/>
      <c r="D755" s="61"/>
      <c r="E755" s="56"/>
      <c r="F755" s="53"/>
      <c r="G755" s="53" t="str">
        <f>IF(ISBLANK(Acciones!$H755)=TRUE," ",WEEKNUM(Acciones!$H755,21))</f>
        <v xml:space="preserve"> </v>
      </c>
      <c r="H755" s="53"/>
      <c r="I755" s="66"/>
      <c r="J755" s="53"/>
      <c r="K755" s="48" t="str">
        <f ca="1">IF(AND(ISBLANK(Acciones!$D755)=FALSE,ISBLANK(Acciones!$H755)=TRUE),"Faltan fechas",IF(Acciones!$H755="","",IF(AND(Acciones!$H755&gt;=TODAY(),ISBLANK(Acciones!$J755)=TRUE),"En tiempo",IF(AND(Acciones!$H755&lt;TODAY(),Acciones!$J755=""),"Retrasado",IF(Acciones!$J755&gt;Acciones!$H755,"Cerrado con retraso","Cerrado")))))</f>
        <v/>
      </c>
      <c r="L755" s="61"/>
      <c r="M755" s="74"/>
      <c r="T755" s="26"/>
      <c r="U755" s="26"/>
    </row>
    <row r="756" spans="2:21" x14ac:dyDescent="0.3">
      <c r="B756" s="53"/>
      <c r="C756" s="65"/>
      <c r="D756" s="61"/>
      <c r="E756" s="56"/>
      <c r="F756" s="53"/>
      <c r="G756" s="53" t="str">
        <f>IF(ISBLANK(Acciones!$H756)=TRUE," ",WEEKNUM(Acciones!$H756,21))</f>
        <v xml:space="preserve"> </v>
      </c>
      <c r="H756" s="53"/>
      <c r="I756" s="66"/>
      <c r="J756" s="53"/>
      <c r="K756" s="48" t="str">
        <f ca="1">IF(AND(ISBLANK(Acciones!$D756)=FALSE,ISBLANK(Acciones!$H756)=TRUE),"Faltan fechas",IF(Acciones!$H756="","",IF(AND(Acciones!$H756&gt;=TODAY(),ISBLANK(Acciones!$J756)=TRUE),"En tiempo",IF(AND(Acciones!$H756&lt;TODAY(),Acciones!$J756=""),"Retrasado",IF(Acciones!$J756&gt;Acciones!$H756,"Cerrado con retraso","Cerrado")))))</f>
        <v/>
      </c>
      <c r="L756" s="61"/>
      <c r="M756" s="74"/>
      <c r="T756" s="26"/>
      <c r="U756" s="26"/>
    </row>
    <row r="757" spans="2:21" x14ac:dyDescent="0.3">
      <c r="B757" s="53"/>
      <c r="C757" s="65"/>
      <c r="D757" s="61"/>
      <c r="E757" s="56"/>
      <c r="F757" s="53"/>
      <c r="G757" s="53" t="str">
        <f>IF(ISBLANK(Acciones!$H757)=TRUE," ",WEEKNUM(Acciones!$H757,21))</f>
        <v xml:space="preserve"> </v>
      </c>
      <c r="H757" s="53"/>
      <c r="I757" s="66"/>
      <c r="J757" s="53"/>
      <c r="K757" s="48" t="str">
        <f ca="1">IF(AND(ISBLANK(Acciones!$D757)=FALSE,ISBLANK(Acciones!$H757)=TRUE),"Faltan fechas",IF(Acciones!$H757="","",IF(AND(Acciones!$H757&gt;=TODAY(),ISBLANK(Acciones!$J757)=TRUE),"En tiempo",IF(AND(Acciones!$H757&lt;TODAY(),Acciones!$J757=""),"Retrasado",IF(Acciones!$J757&gt;Acciones!$H757,"Cerrado con retraso","Cerrado")))))</f>
        <v/>
      </c>
      <c r="L757" s="61"/>
      <c r="M757" s="74"/>
      <c r="T757" s="26"/>
      <c r="U757" s="26"/>
    </row>
    <row r="758" spans="2:21" x14ac:dyDescent="0.3">
      <c r="B758" s="53"/>
      <c r="C758" s="65"/>
      <c r="D758" s="61"/>
      <c r="E758" s="56"/>
      <c r="F758" s="53"/>
      <c r="G758" s="53" t="str">
        <f>IF(ISBLANK(Acciones!$H758)=TRUE," ",WEEKNUM(Acciones!$H758,21))</f>
        <v xml:space="preserve"> </v>
      </c>
      <c r="H758" s="53"/>
      <c r="I758" s="66"/>
      <c r="J758" s="53"/>
      <c r="K758" s="48" t="str">
        <f ca="1">IF(AND(ISBLANK(Acciones!$D758)=FALSE,ISBLANK(Acciones!$H758)=TRUE),"Faltan fechas",IF(Acciones!$H758="","",IF(AND(Acciones!$H758&gt;=TODAY(),ISBLANK(Acciones!$J758)=TRUE),"En tiempo",IF(AND(Acciones!$H758&lt;TODAY(),Acciones!$J758=""),"Retrasado",IF(Acciones!$J758&gt;Acciones!$H758,"Cerrado con retraso","Cerrado")))))</f>
        <v/>
      </c>
      <c r="L758" s="61"/>
      <c r="M758" s="74"/>
      <c r="T758" s="26"/>
      <c r="U758" s="26"/>
    </row>
    <row r="759" spans="2:21" x14ac:dyDescent="0.3">
      <c r="B759" s="53"/>
      <c r="C759" s="65"/>
      <c r="D759" s="61"/>
      <c r="E759" s="56"/>
      <c r="F759" s="53"/>
      <c r="G759" s="53" t="str">
        <f>IF(ISBLANK(Acciones!$H759)=TRUE," ",WEEKNUM(Acciones!$H759,21))</f>
        <v xml:space="preserve"> </v>
      </c>
      <c r="H759" s="53"/>
      <c r="I759" s="66"/>
      <c r="J759" s="53"/>
      <c r="K759" s="48" t="str">
        <f ca="1">IF(AND(ISBLANK(Acciones!$D759)=FALSE,ISBLANK(Acciones!$H759)=TRUE),"Faltan fechas",IF(Acciones!$H759="","",IF(AND(Acciones!$H759&gt;=TODAY(),ISBLANK(Acciones!$J759)=TRUE),"En tiempo",IF(AND(Acciones!$H759&lt;TODAY(),Acciones!$J759=""),"Retrasado",IF(Acciones!$J759&gt;Acciones!$H759,"Cerrado con retraso","Cerrado")))))</f>
        <v/>
      </c>
      <c r="L759" s="61"/>
      <c r="M759" s="74"/>
      <c r="T759" s="26"/>
      <c r="U759" s="26"/>
    </row>
    <row r="760" spans="2:21" x14ac:dyDescent="0.3">
      <c r="B760" s="53"/>
      <c r="C760" s="65"/>
      <c r="D760" s="61"/>
      <c r="E760" s="56"/>
      <c r="F760" s="53"/>
      <c r="G760" s="53" t="str">
        <f>IF(ISBLANK(Acciones!$H760)=TRUE," ",WEEKNUM(Acciones!$H760,21))</f>
        <v xml:space="preserve"> </v>
      </c>
      <c r="H760" s="53"/>
      <c r="I760" s="66"/>
      <c r="J760" s="53"/>
      <c r="K760" s="48" t="str">
        <f ca="1">IF(AND(ISBLANK(Acciones!$D760)=FALSE,ISBLANK(Acciones!$H760)=TRUE),"Faltan fechas",IF(Acciones!$H760="","",IF(AND(Acciones!$H760&gt;=TODAY(),ISBLANK(Acciones!$J760)=TRUE),"En tiempo",IF(AND(Acciones!$H760&lt;TODAY(),Acciones!$J760=""),"Retrasado",IF(Acciones!$J760&gt;Acciones!$H760,"Cerrado con retraso","Cerrado")))))</f>
        <v/>
      </c>
      <c r="L760" s="61"/>
      <c r="M760" s="74"/>
      <c r="T760" s="26"/>
      <c r="U760" s="26"/>
    </row>
    <row r="761" spans="2:21" x14ac:dyDescent="0.3">
      <c r="B761" s="53"/>
      <c r="C761" s="65"/>
      <c r="D761" s="61"/>
      <c r="E761" s="56"/>
      <c r="F761" s="53"/>
      <c r="G761" s="53" t="str">
        <f>IF(ISBLANK(Acciones!$H761)=TRUE," ",WEEKNUM(Acciones!$H761,21))</f>
        <v xml:space="preserve"> </v>
      </c>
      <c r="H761" s="53"/>
      <c r="I761" s="66"/>
      <c r="J761" s="53"/>
      <c r="K761" s="48" t="str">
        <f ca="1">IF(AND(ISBLANK(Acciones!$D761)=FALSE,ISBLANK(Acciones!$H761)=TRUE),"Faltan fechas",IF(Acciones!$H761="","",IF(AND(Acciones!$H761&gt;=TODAY(),ISBLANK(Acciones!$J761)=TRUE),"En tiempo",IF(AND(Acciones!$H761&lt;TODAY(),Acciones!$J761=""),"Retrasado",IF(Acciones!$J761&gt;Acciones!$H761,"Cerrado con retraso","Cerrado")))))</f>
        <v/>
      </c>
      <c r="L761" s="61"/>
      <c r="M761" s="74"/>
      <c r="T761" s="26"/>
      <c r="U761" s="26"/>
    </row>
    <row r="762" spans="2:21" x14ac:dyDescent="0.3">
      <c r="B762" s="53"/>
      <c r="C762" s="65"/>
      <c r="D762" s="61"/>
      <c r="E762" s="56"/>
      <c r="F762" s="53"/>
      <c r="G762" s="53" t="str">
        <f>IF(ISBLANK(Acciones!$H762)=TRUE," ",WEEKNUM(Acciones!$H762,21))</f>
        <v xml:space="preserve"> </v>
      </c>
      <c r="H762" s="53"/>
      <c r="I762" s="66"/>
      <c r="J762" s="53"/>
      <c r="K762" s="48" t="str">
        <f ca="1">IF(AND(ISBLANK(Acciones!$D762)=FALSE,ISBLANK(Acciones!$H762)=TRUE),"Faltan fechas",IF(Acciones!$H762="","",IF(AND(Acciones!$H762&gt;=TODAY(),ISBLANK(Acciones!$J762)=TRUE),"En tiempo",IF(AND(Acciones!$H762&lt;TODAY(),Acciones!$J762=""),"Retrasado",IF(Acciones!$J762&gt;Acciones!$H762,"Cerrado con retraso","Cerrado")))))</f>
        <v/>
      </c>
      <c r="L762" s="61"/>
      <c r="M762" s="74"/>
      <c r="T762" s="26"/>
      <c r="U762" s="26"/>
    </row>
    <row r="763" spans="2:21" x14ac:dyDescent="0.3">
      <c r="B763" s="53"/>
      <c r="C763" s="65"/>
      <c r="D763" s="61"/>
      <c r="E763" s="56"/>
      <c r="F763" s="53"/>
      <c r="G763" s="53" t="str">
        <f>IF(ISBLANK(Acciones!$H763)=TRUE," ",WEEKNUM(Acciones!$H763,21))</f>
        <v xml:space="preserve"> </v>
      </c>
      <c r="H763" s="53"/>
      <c r="I763" s="66"/>
      <c r="J763" s="53"/>
      <c r="K763" s="48" t="str">
        <f ca="1">IF(AND(ISBLANK(Acciones!$D763)=FALSE,ISBLANK(Acciones!$H763)=TRUE),"Faltan fechas",IF(Acciones!$H763="","",IF(AND(Acciones!$H763&gt;=TODAY(),ISBLANK(Acciones!$J763)=TRUE),"En tiempo",IF(AND(Acciones!$H763&lt;TODAY(),Acciones!$J763=""),"Retrasado",IF(Acciones!$J763&gt;Acciones!$H763,"Cerrado con retraso","Cerrado")))))</f>
        <v/>
      </c>
      <c r="L763" s="61"/>
      <c r="M763" s="74"/>
      <c r="T763" s="26"/>
      <c r="U763" s="26"/>
    </row>
    <row r="764" spans="2:21" x14ac:dyDescent="0.3">
      <c r="B764" s="53"/>
      <c r="C764" s="65"/>
      <c r="D764" s="61"/>
      <c r="E764" s="56"/>
      <c r="F764" s="53"/>
      <c r="G764" s="53" t="str">
        <f>IF(ISBLANK(Acciones!$H764)=TRUE," ",WEEKNUM(Acciones!$H764,21))</f>
        <v xml:space="preserve"> </v>
      </c>
      <c r="H764" s="53"/>
      <c r="I764" s="66"/>
      <c r="J764" s="53"/>
      <c r="K764" s="48" t="str">
        <f ca="1">IF(AND(ISBLANK(Acciones!$D764)=FALSE,ISBLANK(Acciones!$H764)=TRUE),"Faltan fechas",IF(Acciones!$H764="","",IF(AND(Acciones!$H764&gt;=TODAY(),ISBLANK(Acciones!$J764)=TRUE),"En tiempo",IF(AND(Acciones!$H764&lt;TODAY(),Acciones!$J764=""),"Retrasado",IF(Acciones!$J764&gt;Acciones!$H764,"Cerrado con retraso","Cerrado")))))</f>
        <v/>
      </c>
      <c r="L764" s="61"/>
      <c r="M764" s="74"/>
      <c r="T764" s="26"/>
      <c r="U764" s="26"/>
    </row>
    <row r="765" spans="2:21" x14ac:dyDescent="0.3">
      <c r="B765" s="53"/>
      <c r="C765" s="65"/>
      <c r="D765" s="61"/>
      <c r="E765" s="56"/>
      <c r="F765" s="53"/>
      <c r="G765" s="53" t="str">
        <f>IF(ISBLANK(Acciones!$H765)=TRUE," ",WEEKNUM(Acciones!$H765,21))</f>
        <v xml:space="preserve"> </v>
      </c>
      <c r="H765" s="53"/>
      <c r="I765" s="66"/>
      <c r="J765" s="53"/>
      <c r="K765" s="48" t="str">
        <f ca="1">IF(AND(ISBLANK(Acciones!$D765)=FALSE,ISBLANK(Acciones!$H765)=TRUE),"Faltan fechas",IF(Acciones!$H765="","",IF(AND(Acciones!$H765&gt;=TODAY(),ISBLANK(Acciones!$J765)=TRUE),"En tiempo",IF(AND(Acciones!$H765&lt;TODAY(),Acciones!$J765=""),"Retrasado",IF(Acciones!$J765&gt;Acciones!$H765,"Cerrado con retraso","Cerrado")))))</f>
        <v/>
      </c>
      <c r="L765" s="61"/>
      <c r="M765" s="74"/>
      <c r="T765" s="26"/>
      <c r="U765" s="26"/>
    </row>
    <row r="766" spans="2:21" x14ac:dyDescent="0.3">
      <c r="B766" s="53"/>
      <c r="C766" s="65"/>
      <c r="D766" s="61"/>
      <c r="E766" s="56"/>
      <c r="F766" s="53"/>
      <c r="G766" s="53" t="str">
        <f>IF(ISBLANK(Acciones!$H766)=TRUE," ",WEEKNUM(Acciones!$H766,21))</f>
        <v xml:space="preserve"> </v>
      </c>
      <c r="H766" s="53"/>
      <c r="I766" s="66"/>
      <c r="J766" s="53"/>
      <c r="K766" s="48" t="str">
        <f ca="1">IF(AND(ISBLANK(Acciones!$D766)=FALSE,ISBLANK(Acciones!$H766)=TRUE),"Faltan fechas",IF(Acciones!$H766="","",IF(AND(Acciones!$H766&gt;=TODAY(),ISBLANK(Acciones!$J766)=TRUE),"En tiempo",IF(AND(Acciones!$H766&lt;TODAY(),Acciones!$J766=""),"Retrasado",IF(Acciones!$J766&gt;Acciones!$H766,"Cerrado con retraso","Cerrado")))))</f>
        <v/>
      </c>
      <c r="L766" s="61"/>
      <c r="M766" s="74"/>
      <c r="T766" s="26"/>
      <c r="U766" s="26"/>
    </row>
    <row r="767" spans="2:21" x14ac:dyDescent="0.3">
      <c r="B767" s="53"/>
      <c r="C767" s="65"/>
      <c r="D767" s="61"/>
      <c r="E767" s="56"/>
      <c r="F767" s="53"/>
      <c r="G767" s="53" t="str">
        <f>IF(ISBLANK(Acciones!$H767)=TRUE," ",WEEKNUM(Acciones!$H767,21))</f>
        <v xml:space="preserve"> </v>
      </c>
      <c r="H767" s="53"/>
      <c r="I767" s="66"/>
      <c r="J767" s="53"/>
      <c r="K767" s="48" t="str">
        <f ca="1">IF(AND(ISBLANK(Acciones!$D767)=FALSE,ISBLANK(Acciones!$H767)=TRUE),"Faltan fechas",IF(Acciones!$H767="","",IF(AND(Acciones!$H767&gt;=TODAY(),ISBLANK(Acciones!$J767)=TRUE),"En tiempo",IF(AND(Acciones!$H767&lt;TODAY(),Acciones!$J767=""),"Retrasado",IF(Acciones!$J767&gt;Acciones!$H767,"Cerrado con retraso","Cerrado")))))</f>
        <v/>
      </c>
      <c r="L767" s="61"/>
      <c r="M767" s="74"/>
      <c r="T767" s="26"/>
      <c r="U767" s="26"/>
    </row>
    <row r="768" spans="2:21" x14ac:dyDescent="0.3">
      <c r="B768" s="53"/>
      <c r="C768" s="65"/>
      <c r="D768" s="61"/>
      <c r="E768" s="56"/>
      <c r="F768" s="53"/>
      <c r="G768" s="53" t="str">
        <f>IF(ISBLANK(Acciones!$H768)=TRUE," ",WEEKNUM(Acciones!$H768,21))</f>
        <v xml:space="preserve"> </v>
      </c>
      <c r="H768" s="53"/>
      <c r="I768" s="66"/>
      <c r="J768" s="53"/>
      <c r="K768" s="48" t="str">
        <f ca="1">IF(AND(ISBLANK(Acciones!$D768)=FALSE,ISBLANK(Acciones!$H768)=TRUE),"Faltan fechas",IF(Acciones!$H768="","",IF(AND(Acciones!$H768&gt;=TODAY(),ISBLANK(Acciones!$J768)=TRUE),"En tiempo",IF(AND(Acciones!$H768&lt;TODAY(),Acciones!$J768=""),"Retrasado",IF(Acciones!$J768&gt;Acciones!$H768,"Cerrado con retraso","Cerrado")))))</f>
        <v/>
      </c>
      <c r="L768" s="61"/>
      <c r="M768" s="74"/>
      <c r="T768" s="26"/>
      <c r="U768" s="26"/>
    </row>
    <row r="769" spans="2:21" x14ac:dyDescent="0.3">
      <c r="B769" s="53"/>
      <c r="C769" s="65"/>
      <c r="D769" s="61"/>
      <c r="E769" s="56"/>
      <c r="F769" s="53"/>
      <c r="G769" s="53" t="str">
        <f>IF(ISBLANK(Acciones!$H769)=TRUE," ",WEEKNUM(Acciones!$H769,21))</f>
        <v xml:space="preserve"> </v>
      </c>
      <c r="H769" s="53"/>
      <c r="I769" s="66"/>
      <c r="J769" s="53"/>
      <c r="K769" s="48" t="str">
        <f ca="1">IF(AND(ISBLANK(Acciones!$D769)=FALSE,ISBLANK(Acciones!$H769)=TRUE),"Faltan fechas",IF(Acciones!$H769="","",IF(AND(Acciones!$H769&gt;=TODAY(),ISBLANK(Acciones!$J769)=TRUE),"En tiempo",IF(AND(Acciones!$H769&lt;TODAY(),Acciones!$J769=""),"Retrasado",IF(Acciones!$J769&gt;Acciones!$H769,"Cerrado con retraso","Cerrado")))))</f>
        <v/>
      </c>
      <c r="L769" s="61"/>
      <c r="M769" s="74"/>
      <c r="T769" s="26"/>
      <c r="U769" s="26"/>
    </row>
    <row r="770" spans="2:21" x14ac:dyDescent="0.3">
      <c r="B770" s="53"/>
      <c r="C770" s="65"/>
      <c r="D770" s="61"/>
      <c r="E770" s="56"/>
      <c r="F770" s="53"/>
      <c r="G770" s="53" t="str">
        <f>IF(ISBLANK(Acciones!$H770)=TRUE," ",WEEKNUM(Acciones!$H770,21))</f>
        <v xml:space="preserve"> </v>
      </c>
      <c r="H770" s="53"/>
      <c r="I770" s="66"/>
      <c r="J770" s="53"/>
      <c r="K770" s="48" t="str">
        <f ca="1">IF(AND(ISBLANK(Acciones!$D770)=FALSE,ISBLANK(Acciones!$H770)=TRUE),"Faltan fechas",IF(Acciones!$H770="","",IF(AND(Acciones!$H770&gt;=TODAY(),ISBLANK(Acciones!$J770)=TRUE),"En tiempo",IF(AND(Acciones!$H770&lt;TODAY(),Acciones!$J770=""),"Retrasado",IF(Acciones!$J770&gt;Acciones!$H770,"Cerrado con retraso","Cerrado")))))</f>
        <v/>
      </c>
      <c r="L770" s="61"/>
      <c r="M770" s="74"/>
      <c r="T770" s="26"/>
      <c r="U770" s="26"/>
    </row>
    <row r="771" spans="2:21" x14ac:dyDescent="0.3">
      <c r="B771" s="53"/>
      <c r="C771" s="65"/>
      <c r="D771" s="61"/>
      <c r="E771" s="56"/>
      <c r="F771" s="53"/>
      <c r="G771" s="53" t="str">
        <f>IF(ISBLANK(Acciones!$H771)=TRUE," ",WEEKNUM(Acciones!$H771,21))</f>
        <v xml:space="preserve"> </v>
      </c>
      <c r="H771" s="53"/>
      <c r="I771" s="66"/>
      <c r="J771" s="53"/>
      <c r="K771" s="48" t="str">
        <f ca="1">IF(AND(ISBLANK(Acciones!$D771)=FALSE,ISBLANK(Acciones!$H771)=TRUE),"Faltan fechas",IF(Acciones!$H771="","",IF(AND(Acciones!$H771&gt;=TODAY(),ISBLANK(Acciones!$J771)=TRUE),"En tiempo",IF(AND(Acciones!$H771&lt;TODAY(),Acciones!$J771=""),"Retrasado",IF(Acciones!$J771&gt;Acciones!$H771,"Cerrado con retraso","Cerrado")))))</f>
        <v/>
      </c>
      <c r="L771" s="61"/>
      <c r="M771" s="74"/>
      <c r="T771" s="26"/>
      <c r="U771" s="26"/>
    </row>
    <row r="772" spans="2:21" x14ac:dyDescent="0.3">
      <c r="B772" s="53"/>
      <c r="C772" s="65"/>
      <c r="D772" s="61"/>
      <c r="E772" s="56"/>
      <c r="F772" s="53"/>
      <c r="G772" s="53" t="str">
        <f>IF(ISBLANK(Acciones!$H772)=TRUE," ",WEEKNUM(Acciones!$H772,21))</f>
        <v xml:space="preserve"> </v>
      </c>
      <c r="H772" s="53"/>
      <c r="I772" s="66"/>
      <c r="J772" s="53"/>
      <c r="K772" s="48" t="str">
        <f ca="1">IF(AND(ISBLANK(Acciones!$D772)=FALSE,ISBLANK(Acciones!$H772)=TRUE),"Faltan fechas",IF(Acciones!$H772="","",IF(AND(Acciones!$H772&gt;=TODAY(),ISBLANK(Acciones!$J772)=TRUE),"En tiempo",IF(AND(Acciones!$H772&lt;TODAY(),Acciones!$J772=""),"Retrasado",IF(Acciones!$J772&gt;Acciones!$H772,"Cerrado con retraso","Cerrado")))))</f>
        <v/>
      </c>
      <c r="L772" s="61"/>
      <c r="M772" s="74"/>
      <c r="T772" s="26"/>
      <c r="U772" s="26"/>
    </row>
    <row r="773" spans="2:21" x14ac:dyDescent="0.3">
      <c r="B773" s="53"/>
      <c r="C773" s="65"/>
      <c r="D773" s="61"/>
      <c r="E773" s="56"/>
      <c r="F773" s="53"/>
      <c r="G773" s="53" t="str">
        <f>IF(ISBLANK(Acciones!$H773)=TRUE," ",WEEKNUM(Acciones!$H773,21))</f>
        <v xml:space="preserve"> </v>
      </c>
      <c r="H773" s="53"/>
      <c r="I773" s="66"/>
      <c r="J773" s="53"/>
      <c r="K773" s="48" t="str">
        <f ca="1">IF(AND(ISBLANK(Acciones!$D773)=FALSE,ISBLANK(Acciones!$H773)=TRUE),"Faltan fechas",IF(Acciones!$H773="","",IF(AND(Acciones!$H773&gt;=TODAY(),ISBLANK(Acciones!$J773)=TRUE),"En tiempo",IF(AND(Acciones!$H773&lt;TODAY(),Acciones!$J773=""),"Retrasado",IF(Acciones!$J773&gt;Acciones!$H773,"Cerrado con retraso","Cerrado")))))</f>
        <v/>
      </c>
      <c r="L773" s="61"/>
      <c r="M773" s="74"/>
      <c r="T773" s="26"/>
      <c r="U773" s="26"/>
    </row>
    <row r="774" spans="2:21" x14ac:dyDescent="0.3">
      <c r="B774" s="53"/>
      <c r="C774" s="65"/>
      <c r="D774" s="61"/>
      <c r="E774" s="56"/>
      <c r="F774" s="53"/>
      <c r="G774" s="53" t="str">
        <f>IF(ISBLANK(Acciones!$H774)=TRUE," ",WEEKNUM(Acciones!$H774,21))</f>
        <v xml:space="preserve"> </v>
      </c>
      <c r="H774" s="53"/>
      <c r="I774" s="66"/>
      <c r="J774" s="53"/>
      <c r="K774" s="48" t="str">
        <f ca="1">IF(AND(ISBLANK(Acciones!$D774)=FALSE,ISBLANK(Acciones!$H774)=TRUE),"Faltan fechas",IF(Acciones!$H774="","",IF(AND(Acciones!$H774&gt;=TODAY(),ISBLANK(Acciones!$J774)=TRUE),"En tiempo",IF(AND(Acciones!$H774&lt;TODAY(),Acciones!$J774=""),"Retrasado",IF(Acciones!$J774&gt;Acciones!$H774,"Cerrado con retraso","Cerrado")))))</f>
        <v/>
      </c>
      <c r="L774" s="61"/>
      <c r="M774" s="74"/>
      <c r="T774" s="26"/>
      <c r="U774" s="26"/>
    </row>
    <row r="775" spans="2:21" x14ac:dyDescent="0.3">
      <c r="B775" s="53"/>
      <c r="C775" s="65"/>
      <c r="D775" s="61"/>
      <c r="E775" s="56"/>
      <c r="F775" s="53"/>
      <c r="G775" s="53" t="str">
        <f>IF(ISBLANK(Acciones!$H775)=TRUE," ",WEEKNUM(Acciones!$H775,21))</f>
        <v xml:space="preserve"> </v>
      </c>
      <c r="H775" s="53"/>
      <c r="I775" s="66"/>
      <c r="J775" s="53"/>
      <c r="K775" s="48" t="str">
        <f ca="1">IF(AND(ISBLANK(Acciones!$D775)=FALSE,ISBLANK(Acciones!$H775)=TRUE),"Faltan fechas",IF(Acciones!$H775="","",IF(AND(Acciones!$H775&gt;=TODAY(),ISBLANK(Acciones!$J775)=TRUE),"En tiempo",IF(AND(Acciones!$H775&lt;TODAY(),Acciones!$J775=""),"Retrasado",IF(Acciones!$J775&gt;Acciones!$H775,"Cerrado con retraso","Cerrado")))))</f>
        <v/>
      </c>
      <c r="L775" s="61"/>
      <c r="M775" s="74"/>
      <c r="T775" s="26"/>
      <c r="U775" s="26"/>
    </row>
    <row r="776" spans="2:21" x14ac:dyDescent="0.3">
      <c r="B776" s="53"/>
      <c r="C776" s="65"/>
      <c r="D776" s="61"/>
      <c r="E776" s="56"/>
      <c r="F776" s="53"/>
      <c r="G776" s="53" t="str">
        <f>IF(ISBLANK(Acciones!$H776)=TRUE," ",WEEKNUM(Acciones!$H776,21))</f>
        <v xml:space="preserve"> </v>
      </c>
      <c r="H776" s="53"/>
      <c r="I776" s="66"/>
      <c r="J776" s="53"/>
      <c r="K776" s="48" t="str">
        <f ca="1">IF(AND(ISBLANK(Acciones!$D776)=FALSE,ISBLANK(Acciones!$H776)=TRUE),"Faltan fechas",IF(Acciones!$H776="","",IF(AND(Acciones!$H776&gt;=TODAY(),ISBLANK(Acciones!$J776)=TRUE),"En tiempo",IF(AND(Acciones!$H776&lt;TODAY(),Acciones!$J776=""),"Retrasado",IF(Acciones!$J776&gt;Acciones!$H776,"Cerrado con retraso","Cerrado")))))</f>
        <v/>
      </c>
      <c r="L776" s="61"/>
      <c r="M776" s="74"/>
      <c r="T776" s="26"/>
      <c r="U776" s="26"/>
    </row>
    <row r="777" spans="2:21" x14ac:dyDescent="0.3">
      <c r="B777" s="53"/>
      <c r="C777" s="65"/>
      <c r="D777" s="61"/>
      <c r="E777" s="56"/>
      <c r="F777" s="53"/>
      <c r="G777" s="53" t="str">
        <f>IF(ISBLANK(Acciones!$H777)=TRUE," ",WEEKNUM(Acciones!$H777,21))</f>
        <v xml:space="preserve"> </v>
      </c>
      <c r="H777" s="53"/>
      <c r="I777" s="66"/>
      <c r="J777" s="53"/>
      <c r="K777" s="48" t="str">
        <f ca="1">IF(AND(ISBLANK(Acciones!$D777)=FALSE,ISBLANK(Acciones!$H777)=TRUE),"Faltan fechas",IF(Acciones!$H777="","",IF(AND(Acciones!$H777&gt;=TODAY(),ISBLANK(Acciones!$J777)=TRUE),"En tiempo",IF(AND(Acciones!$H777&lt;TODAY(),Acciones!$J777=""),"Retrasado",IF(Acciones!$J777&gt;Acciones!$H777,"Cerrado con retraso","Cerrado")))))</f>
        <v/>
      </c>
      <c r="L777" s="61"/>
      <c r="M777" s="74"/>
      <c r="T777" s="26"/>
      <c r="U777" s="26"/>
    </row>
    <row r="778" spans="2:21" x14ac:dyDescent="0.3">
      <c r="B778" s="53"/>
      <c r="C778" s="65"/>
      <c r="D778" s="61"/>
      <c r="E778" s="56"/>
      <c r="F778" s="53"/>
      <c r="G778" s="53" t="str">
        <f>IF(ISBLANK(Acciones!$H778)=TRUE," ",WEEKNUM(Acciones!$H778,21))</f>
        <v xml:space="preserve"> </v>
      </c>
      <c r="H778" s="53"/>
      <c r="I778" s="66"/>
      <c r="J778" s="53"/>
      <c r="K778" s="48" t="str">
        <f ca="1">IF(AND(ISBLANK(Acciones!$D778)=FALSE,ISBLANK(Acciones!$H778)=TRUE),"Faltan fechas",IF(Acciones!$H778="","",IF(AND(Acciones!$H778&gt;=TODAY(),ISBLANK(Acciones!$J778)=TRUE),"En tiempo",IF(AND(Acciones!$H778&lt;TODAY(),Acciones!$J778=""),"Retrasado",IF(Acciones!$J778&gt;Acciones!$H778,"Cerrado con retraso","Cerrado")))))</f>
        <v/>
      </c>
      <c r="L778" s="61"/>
      <c r="M778" s="74"/>
      <c r="T778" s="26"/>
      <c r="U778" s="26"/>
    </row>
    <row r="779" spans="2:21" x14ac:dyDescent="0.3">
      <c r="B779" s="53"/>
      <c r="C779" s="65"/>
      <c r="D779" s="61"/>
      <c r="E779" s="56"/>
      <c r="F779" s="53"/>
      <c r="G779" s="53" t="str">
        <f>IF(ISBLANK(Acciones!$H779)=TRUE," ",WEEKNUM(Acciones!$H779,21))</f>
        <v xml:space="preserve"> </v>
      </c>
      <c r="H779" s="53"/>
      <c r="I779" s="66"/>
      <c r="J779" s="53"/>
      <c r="K779" s="48" t="str">
        <f ca="1">IF(AND(ISBLANK(Acciones!$D779)=FALSE,ISBLANK(Acciones!$H779)=TRUE),"Faltan fechas",IF(Acciones!$H779="","",IF(AND(Acciones!$H779&gt;=TODAY(),ISBLANK(Acciones!$J779)=TRUE),"En tiempo",IF(AND(Acciones!$H779&lt;TODAY(),Acciones!$J779=""),"Retrasado",IF(Acciones!$J779&gt;Acciones!$H779,"Cerrado con retraso","Cerrado")))))</f>
        <v/>
      </c>
      <c r="L779" s="61"/>
      <c r="M779" s="74"/>
      <c r="T779" s="26"/>
      <c r="U779" s="26"/>
    </row>
    <row r="780" spans="2:21" x14ac:dyDescent="0.3">
      <c r="B780" s="53"/>
      <c r="C780" s="65"/>
      <c r="D780" s="61"/>
      <c r="E780" s="56"/>
      <c r="F780" s="53"/>
      <c r="G780" s="53" t="str">
        <f>IF(ISBLANK(Acciones!$H780)=TRUE," ",WEEKNUM(Acciones!$H780,21))</f>
        <v xml:space="preserve"> </v>
      </c>
      <c r="H780" s="53"/>
      <c r="I780" s="66"/>
      <c r="J780" s="53"/>
      <c r="K780" s="48" t="str">
        <f ca="1">IF(AND(ISBLANK(Acciones!$D780)=FALSE,ISBLANK(Acciones!$H780)=TRUE),"Faltan fechas",IF(Acciones!$H780="","",IF(AND(Acciones!$H780&gt;=TODAY(),ISBLANK(Acciones!$J780)=TRUE),"En tiempo",IF(AND(Acciones!$H780&lt;TODAY(),Acciones!$J780=""),"Retrasado",IF(Acciones!$J780&gt;Acciones!$H780,"Cerrado con retraso","Cerrado")))))</f>
        <v/>
      </c>
      <c r="L780" s="61"/>
      <c r="M780" s="74"/>
      <c r="T780" s="26"/>
      <c r="U780" s="26"/>
    </row>
    <row r="781" spans="2:21" x14ac:dyDescent="0.3">
      <c r="B781" s="53"/>
      <c r="C781" s="65"/>
      <c r="D781" s="61"/>
      <c r="E781" s="56"/>
      <c r="F781" s="53"/>
      <c r="G781" s="53" t="str">
        <f>IF(ISBLANK(Acciones!$H781)=TRUE," ",WEEKNUM(Acciones!$H781,21))</f>
        <v xml:space="preserve"> </v>
      </c>
      <c r="H781" s="53"/>
      <c r="I781" s="66"/>
      <c r="J781" s="53"/>
      <c r="K781" s="48" t="str">
        <f ca="1">IF(AND(ISBLANK(Acciones!$D781)=FALSE,ISBLANK(Acciones!$H781)=TRUE),"Faltan fechas",IF(Acciones!$H781="","",IF(AND(Acciones!$H781&gt;=TODAY(),ISBLANK(Acciones!$J781)=TRUE),"En tiempo",IF(AND(Acciones!$H781&lt;TODAY(),Acciones!$J781=""),"Retrasado",IF(Acciones!$J781&gt;Acciones!$H781,"Cerrado con retraso","Cerrado")))))</f>
        <v/>
      </c>
      <c r="L781" s="61"/>
      <c r="M781" s="74"/>
      <c r="T781" s="26"/>
      <c r="U781" s="26"/>
    </row>
    <row r="782" spans="2:21" x14ac:dyDescent="0.3">
      <c r="B782" s="53"/>
      <c r="C782" s="65"/>
      <c r="D782" s="61"/>
      <c r="E782" s="56"/>
      <c r="F782" s="53"/>
      <c r="G782" s="53" t="str">
        <f>IF(ISBLANK(Acciones!$H782)=TRUE," ",WEEKNUM(Acciones!$H782,21))</f>
        <v xml:space="preserve"> </v>
      </c>
      <c r="H782" s="53"/>
      <c r="I782" s="66"/>
      <c r="J782" s="53"/>
      <c r="K782" s="48" t="str">
        <f ca="1">IF(AND(ISBLANK(Acciones!$D782)=FALSE,ISBLANK(Acciones!$H782)=TRUE),"Faltan fechas",IF(Acciones!$H782="","",IF(AND(Acciones!$H782&gt;=TODAY(),ISBLANK(Acciones!$J782)=TRUE),"En tiempo",IF(AND(Acciones!$H782&lt;TODAY(),Acciones!$J782=""),"Retrasado",IF(Acciones!$J782&gt;Acciones!$H782,"Cerrado con retraso","Cerrado")))))</f>
        <v/>
      </c>
      <c r="L782" s="61"/>
      <c r="M782" s="74"/>
      <c r="T782" s="26"/>
      <c r="U782" s="26"/>
    </row>
    <row r="783" spans="2:21" x14ac:dyDescent="0.3">
      <c r="B783" s="53"/>
      <c r="C783" s="65"/>
      <c r="D783" s="61"/>
      <c r="E783" s="56"/>
      <c r="F783" s="53"/>
      <c r="G783" s="53" t="str">
        <f>IF(ISBLANK(Acciones!$H783)=TRUE," ",WEEKNUM(Acciones!$H783,21))</f>
        <v xml:space="preserve"> </v>
      </c>
      <c r="H783" s="53"/>
      <c r="I783" s="66"/>
      <c r="J783" s="53"/>
      <c r="K783" s="48" t="str">
        <f ca="1">IF(AND(ISBLANK(Acciones!$D783)=FALSE,ISBLANK(Acciones!$H783)=TRUE),"Faltan fechas",IF(Acciones!$H783="","",IF(AND(Acciones!$H783&gt;=TODAY(),ISBLANK(Acciones!$J783)=TRUE),"En tiempo",IF(AND(Acciones!$H783&lt;TODAY(),Acciones!$J783=""),"Retrasado",IF(Acciones!$J783&gt;Acciones!$H783,"Cerrado con retraso","Cerrado")))))</f>
        <v/>
      </c>
      <c r="L783" s="61"/>
      <c r="M783" s="74"/>
      <c r="T783" s="26"/>
      <c r="U783" s="26"/>
    </row>
    <row r="784" spans="2:21" x14ac:dyDescent="0.3">
      <c r="B784" s="53"/>
      <c r="C784" s="65"/>
      <c r="D784" s="61"/>
      <c r="E784" s="56"/>
      <c r="F784" s="53"/>
      <c r="G784" s="53" t="str">
        <f>IF(ISBLANK(Acciones!$H784)=TRUE," ",WEEKNUM(Acciones!$H784,21))</f>
        <v xml:space="preserve"> </v>
      </c>
      <c r="H784" s="53"/>
      <c r="I784" s="66"/>
      <c r="J784" s="53"/>
      <c r="K784" s="48" t="str">
        <f ca="1">IF(AND(ISBLANK(Acciones!$D784)=FALSE,ISBLANK(Acciones!$H784)=TRUE),"Faltan fechas",IF(Acciones!$H784="","",IF(AND(Acciones!$H784&gt;=TODAY(),ISBLANK(Acciones!$J784)=TRUE),"En tiempo",IF(AND(Acciones!$H784&lt;TODAY(),Acciones!$J784=""),"Retrasado",IF(Acciones!$J784&gt;Acciones!$H784,"Cerrado con retraso","Cerrado")))))</f>
        <v/>
      </c>
      <c r="L784" s="61"/>
      <c r="M784" s="74"/>
      <c r="T784" s="26"/>
      <c r="U784" s="26"/>
    </row>
    <row r="785" spans="2:21" x14ac:dyDescent="0.3">
      <c r="B785" s="53"/>
      <c r="C785" s="65"/>
      <c r="D785" s="61"/>
      <c r="E785" s="56"/>
      <c r="F785" s="53"/>
      <c r="G785" s="53" t="str">
        <f>IF(ISBLANK(Acciones!$H785)=TRUE," ",WEEKNUM(Acciones!$H785,21))</f>
        <v xml:space="preserve"> </v>
      </c>
      <c r="H785" s="53"/>
      <c r="I785" s="66"/>
      <c r="J785" s="53"/>
      <c r="K785" s="48" t="str">
        <f ca="1">IF(AND(ISBLANK(Acciones!$D785)=FALSE,ISBLANK(Acciones!$H785)=TRUE),"Faltan fechas",IF(Acciones!$H785="","",IF(AND(Acciones!$H785&gt;=TODAY(),ISBLANK(Acciones!$J785)=TRUE),"En tiempo",IF(AND(Acciones!$H785&lt;TODAY(),Acciones!$J785=""),"Retrasado",IF(Acciones!$J785&gt;Acciones!$H785,"Cerrado con retraso","Cerrado")))))</f>
        <v/>
      </c>
      <c r="L785" s="61"/>
      <c r="M785" s="74"/>
      <c r="T785" s="26"/>
      <c r="U785" s="26"/>
    </row>
    <row r="786" spans="2:21" x14ac:dyDescent="0.3">
      <c r="B786" s="53"/>
      <c r="C786" s="65"/>
      <c r="D786" s="61"/>
      <c r="E786" s="56"/>
      <c r="F786" s="53"/>
      <c r="G786" s="53" t="str">
        <f>IF(ISBLANK(Acciones!$H786)=TRUE," ",WEEKNUM(Acciones!$H786,21))</f>
        <v xml:space="preserve"> </v>
      </c>
      <c r="H786" s="53"/>
      <c r="I786" s="66"/>
      <c r="J786" s="53"/>
      <c r="K786" s="48" t="str">
        <f ca="1">IF(AND(ISBLANK(Acciones!$D786)=FALSE,ISBLANK(Acciones!$H786)=TRUE),"Faltan fechas",IF(Acciones!$H786="","",IF(AND(Acciones!$H786&gt;=TODAY(),ISBLANK(Acciones!$J786)=TRUE),"En tiempo",IF(AND(Acciones!$H786&lt;TODAY(),Acciones!$J786=""),"Retrasado",IF(Acciones!$J786&gt;Acciones!$H786,"Cerrado con retraso","Cerrado")))))</f>
        <v/>
      </c>
      <c r="L786" s="61"/>
      <c r="M786" s="74"/>
      <c r="T786" s="26"/>
      <c r="U786" s="26"/>
    </row>
    <row r="787" spans="2:21" x14ac:dyDescent="0.3">
      <c r="B787" s="53"/>
      <c r="C787" s="65"/>
      <c r="D787" s="61"/>
      <c r="E787" s="56"/>
      <c r="F787" s="53"/>
      <c r="G787" s="53" t="str">
        <f>IF(ISBLANK(Acciones!$H787)=TRUE," ",WEEKNUM(Acciones!$H787,21))</f>
        <v xml:space="preserve"> </v>
      </c>
      <c r="H787" s="53"/>
      <c r="I787" s="66"/>
      <c r="J787" s="53"/>
      <c r="K787" s="48" t="str">
        <f ca="1">IF(AND(ISBLANK(Acciones!$D787)=FALSE,ISBLANK(Acciones!$H787)=TRUE),"Faltan fechas",IF(Acciones!$H787="","",IF(AND(Acciones!$H787&gt;=TODAY(),ISBLANK(Acciones!$J787)=TRUE),"En tiempo",IF(AND(Acciones!$H787&lt;TODAY(),Acciones!$J787=""),"Retrasado",IF(Acciones!$J787&gt;Acciones!$H787,"Cerrado con retraso","Cerrado")))))</f>
        <v/>
      </c>
      <c r="L787" s="61"/>
      <c r="M787" s="74"/>
      <c r="T787" s="26"/>
      <c r="U787" s="26"/>
    </row>
    <row r="788" spans="2:21" x14ac:dyDescent="0.3">
      <c r="B788" s="53"/>
      <c r="C788" s="65"/>
      <c r="D788" s="61"/>
      <c r="E788" s="56"/>
      <c r="F788" s="53"/>
      <c r="G788" s="53" t="str">
        <f>IF(ISBLANK(Acciones!$H788)=TRUE," ",WEEKNUM(Acciones!$H788,21))</f>
        <v xml:space="preserve"> </v>
      </c>
      <c r="H788" s="53"/>
      <c r="I788" s="66"/>
      <c r="J788" s="53"/>
      <c r="K788" s="48" t="str">
        <f ca="1">IF(AND(ISBLANK(Acciones!$D788)=FALSE,ISBLANK(Acciones!$H788)=TRUE),"Faltan fechas",IF(Acciones!$H788="","",IF(AND(Acciones!$H788&gt;=TODAY(),ISBLANK(Acciones!$J788)=TRUE),"En tiempo",IF(AND(Acciones!$H788&lt;TODAY(),Acciones!$J788=""),"Retrasado",IF(Acciones!$J788&gt;Acciones!$H788,"Cerrado con retraso","Cerrado")))))</f>
        <v/>
      </c>
      <c r="L788" s="61"/>
      <c r="M788" s="74"/>
      <c r="T788" s="26"/>
      <c r="U788" s="26"/>
    </row>
    <row r="789" spans="2:21" x14ac:dyDescent="0.3">
      <c r="B789" s="53"/>
      <c r="C789" s="65"/>
      <c r="D789" s="61"/>
      <c r="E789" s="56"/>
      <c r="F789" s="53"/>
      <c r="G789" s="53" t="str">
        <f>IF(ISBLANK(Acciones!$H789)=TRUE," ",WEEKNUM(Acciones!$H789,21))</f>
        <v xml:space="preserve"> </v>
      </c>
      <c r="H789" s="53"/>
      <c r="I789" s="66"/>
      <c r="J789" s="53"/>
      <c r="K789" s="48" t="str">
        <f ca="1">IF(AND(ISBLANK(Acciones!$D789)=FALSE,ISBLANK(Acciones!$H789)=TRUE),"Faltan fechas",IF(Acciones!$H789="","",IF(AND(Acciones!$H789&gt;=TODAY(),ISBLANK(Acciones!$J789)=TRUE),"En tiempo",IF(AND(Acciones!$H789&lt;TODAY(),Acciones!$J789=""),"Retrasado",IF(Acciones!$J789&gt;Acciones!$H789,"Cerrado con retraso","Cerrado")))))</f>
        <v/>
      </c>
      <c r="L789" s="61"/>
      <c r="M789" s="74"/>
      <c r="T789" s="26"/>
      <c r="U789" s="26"/>
    </row>
    <row r="790" spans="2:21" x14ac:dyDescent="0.3">
      <c r="B790" s="53"/>
      <c r="C790" s="65"/>
      <c r="D790" s="61"/>
      <c r="E790" s="56"/>
      <c r="F790" s="53"/>
      <c r="G790" s="53" t="str">
        <f>IF(ISBLANK(Acciones!$H790)=TRUE," ",WEEKNUM(Acciones!$H790,21))</f>
        <v xml:space="preserve"> </v>
      </c>
      <c r="H790" s="53"/>
      <c r="I790" s="66"/>
      <c r="J790" s="53"/>
      <c r="K790" s="48" t="str">
        <f ca="1">IF(AND(ISBLANK(Acciones!$D790)=FALSE,ISBLANK(Acciones!$H790)=TRUE),"Faltan fechas",IF(Acciones!$H790="","",IF(AND(Acciones!$H790&gt;=TODAY(),ISBLANK(Acciones!$J790)=TRUE),"En tiempo",IF(AND(Acciones!$H790&lt;TODAY(),Acciones!$J790=""),"Retrasado",IF(Acciones!$J790&gt;Acciones!$H790,"Cerrado con retraso","Cerrado")))))</f>
        <v/>
      </c>
      <c r="L790" s="61"/>
      <c r="M790" s="74"/>
      <c r="T790" s="26"/>
      <c r="U790" s="26"/>
    </row>
    <row r="791" spans="2:21" x14ac:dyDescent="0.3">
      <c r="B791" s="53"/>
      <c r="C791" s="65"/>
      <c r="D791" s="61"/>
      <c r="E791" s="56"/>
      <c r="F791" s="53"/>
      <c r="G791" s="53" t="str">
        <f>IF(ISBLANK(Acciones!$H791)=TRUE," ",WEEKNUM(Acciones!$H791,21))</f>
        <v xml:space="preserve"> </v>
      </c>
      <c r="H791" s="53"/>
      <c r="I791" s="66"/>
      <c r="J791" s="53"/>
      <c r="K791" s="48" t="str">
        <f ca="1">IF(AND(ISBLANK(Acciones!$D791)=FALSE,ISBLANK(Acciones!$H791)=TRUE),"Faltan fechas",IF(Acciones!$H791="","",IF(AND(Acciones!$H791&gt;=TODAY(),ISBLANK(Acciones!$J791)=TRUE),"En tiempo",IF(AND(Acciones!$H791&lt;TODAY(),Acciones!$J791=""),"Retrasado",IF(Acciones!$J791&gt;Acciones!$H791,"Cerrado con retraso","Cerrado")))))</f>
        <v/>
      </c>
      <c r="L791" s="61"/>
      <c r="M791" s="74"/>
      <c r="T791" s="26"/>
      <c r="U791" s="26"/>
    </row>
    <row r="792" spans="2:21" x14ac:dyDescent="0.3">
      <c r="B792" s="53"/>
      <c r="C792" s="65"/>
      <c r="D792" s="61"/>
      <c r="E792" s="56"/>
      <c r="F792" s="53"/>
      <c r="G792" s="53" t="str">
        <f>IF(ISBLANK(Acciones!$H792)=TRUE," ",WEEKNUM(Acciones!$H792,21))</f>
        <v xml:space="preserve"> </v>
      </c>
      <c r="H792" s="53"/>
      <c r="I792" s="66"/>
      <c r="J792" s="53"/>
      <c r="K792" s="48" t="str">
        <f ca="1">IF(AND(ISBLANK(Acciones!$D792)=FALSE,ISBLANK(Acciones!$H792)=TRUE),"Faltan fechas",IF(Acciones!$H792="","",IF(AND(Acciones!$H792&gt;=TODAY(),ISBLANK(Acciones!$J792)=TRUE),"En tiempo",IF(AND(Acciones!$H792&lt;TODAY(),Acciones!$J792=""),"Retrasado",IF(Acciones!$J792&gt;Acciones!$H792,"Cerrado con retraso","Cerrado")))))</f>
        <v/>
      </c>
      <c r="L792" s="61"/>
      <c r="M792" s="74"/>
      <c r="T792" s="26"/>
      <c r="U792" s="26"/>
    </row>
    <row r="793" spans="2:21" x14ac:dyDescent="0.3">
      <c r="B793" s="53"/>
      <c r="C793" s="65"/>
      <c r="D793" s="61"/>
      <c r="E793" s="56"/>
      <c r="F793" s="53"/>
      <c r="G793" s="53" t="str">
        <f>IF(ISBLANK(Acciones!$H793)=TRUE," ",WEEKNUM(Acciones!$H793,21))</f>
        <v xml:space="preserve"> </v>
      </c>
      <c r="H793" s="53"/>
      <c r="I793" s="66"/>
      <c r="J793" s="53"/>
      <c r="K793" s="48" t="str">
        <f ca="1">IF(AND(ISBLANK(Acciones!$D793)=FALSE,ISBLANK(Acciones!$H793)=TRUE),"Faltan fechas",IF(Acciones!$H793="","",IF(AND(Acciones!$H793&gt;=TODAY(),ISBLANK(Acciones!$J793)=TRUE),"En tiempo",IF(AND(Acciones!$H793&lt;TODAY(),Acciones!$J793=""),"Retrasado",IF(Acciones!$J793&gt;Acciones!$H793,"Cerrado con retraso","Cerrado")))))</f>
        <v/>
      </c>
      <c r="L793" s="61"/>
      <c r="M793" s="74"/>
      <c r="T793" s="26"/>
      <c r="U793" s="26"/>
    </row>
    <row r="794" spans="2:21" x14ac:dyDescent="0.3">
      <c r="B794" s="53"/>
      <c r="C794" s="65"/>
      <c r="D794" s="61"/>
      <c r="E794" s="56"/>
      <c r="F794" s="53"/>
      <c r="G794" s="53" t="str">
        <f>IF(ISBLANK(Acciones!$H794)=TRUE," ",WEEKNUM(Acciones!$H794,21))</f>
        <v xml:space="preserve"> </v>
      </c>
      <c r="H794" s="53"/>
      <c r="I794" s="66"/>
      <c r="J794" s="53"/>
      <c r="K794" s="48" t="str">
        <f ca="1">IF(AND(ISBLANK(Acciones!$D794)=FALSE,ISBLANK(Acciones!$H794)=TRUE),"Faltan fechas",IF(Acciones!$H794="","",IF(AND(Acciones!$H794&gt;=TODAY(),ISBLANK(Acciones!$J794)=TRUE),"En tiempo",IF(AND(Acciones!$H794&lt;TODAY(),Acciones!$J794=""),"Retrasado",IF(Acciones!$J794&gt;Acciones!$H794,"Cerrado con retraso","Cerrado")))))</f>
        <v/>
      </c>
      <c r="L794" s="61"/>
      <c r="M794" s="74"/>
      <c r="T794" s="26"/>
      <c r="U794" s="26"/>
    </row>
    <row r="795" spans="2:21" x14ac:dyDescent="0.3">
      <c r="B795" s="53"/>
      <c r="C795" s="65"/>
      <c r="D795" s="61"/>
      <c r="E795" s="56"/>
      <c r="F795" s="53"/>
      <c r="G795" s="53" t="str">
        <f>IF(ISBLANK(Acciones!$H795)=TRUE," ",WEEKNUM(Acciones!$H795,21))</f>
        <v xml:space="preserve"> </v>
      </c>
      <c r="H795" s="53"/>
      <c r="I795" s="66"/>
      <c r="J795" s="53"/>
      <c r="K795" s="48" t="str">
        <f ca="1">IF(AND(ISBLANK(Acciones!$D795)=FALSE,ISBLANK(Acciones!$H795)=TRUE),"Faltan fechas",IF(Acciones!$H795="","",IF(AND(Acciones!$H795&gt;=TODAY(),ISBLANK(Acciones!$J795)=TRUE),"En tiempo",IF(AND(Acciones!$H795&lt;TODAY(),Acciones!$J795=""),"Retrasado",IF(Acciones!$J795&gt;Acciones!$H795,"Cerrado con retraso","Cerrado")))))</f>
        <v/>
      </c>
      <c r="L795" s="61"/>
      <c r="M795" s="74"/>
      <c r="T795" s="26"/>
      <c r="U795" s="26"/>
    </row>
    <row r="796" spans="2:21" x14ac:dyDescent="0.3">
      <c r="B796" s="53"/>
      <c r="C796" s="65"/>
      <c r="D796" s="61"/>
      <c r="E796" s="56"/>
      <c r="F796" s="53"/>
      <c r="G796" s="53" t="str">
        <f>IF(ISBLANK(Acciones!$H796)=TRUE," ",WEEKNUM(Acciones!$H796,21))</f>
        <v xml:space="preserve"> </v>
      </c>
      <c r="H796" s="53"/>
      <c r="I796" s="66"/>
      <c r="J796" s="53"/>
      <c r="K796" s="48" t="str">
        <f ca="1">IF(AND(ISBLANK(Acciones!$D796)=FALSE,ISBLANK(Acciones!$H796)=TRUE),"Faltan fechas",IF(Acciones!$H796="","",IF(AND(Acciones!$H796&gt;=TODAY(),ISBLANK(Acciones!$J796)=TRUE),"En tiempo",IF(AND(Acciones!$H796&lt;TODAY(),Acciones!$J796=""),"Retrasado",IF(Acciones!$J796&gt;Acciones!$H796,"Cerrado con retraso","Cerrado")))))</f>
        <v/>
      </c>
      <c r="L796" s="61"/>
      <c r="M796" s="74"/>
      <c r="T796" s="26"/>
      <c r="U796" s="26"/>
    </row>
    <row r="797" spans="2:21" x14ac:dyDescent="0.3">
      <c r="B797" s="53"/>
      <c r="C797" s="65"/>
      <c r="D797" s="61"/>
      <c r="E797" s="56"/>
      <c r="F797" s="53"/>
      <c r="G797" s="53" t="str">
        <f>IF(ISBLANK(Acciones!$H797)=TRUE," ",WEEKNUM(Acciones!$H797,21))</f>
        <v xml:space="preserve"> </v>
      </c>
      <c r="H797" s="53"/>
      <c r="I797" s="66"/>
      <c r="J797" s="53"/>
      <c r="K797" s="48" t="str">
        <f ca="1">IF(AND(ISBLANK(Acciones!$D797)=FALSE,ISBLANK(Acciones!$H797)=TRUE),"Faltan fechas",IF(Acciones!$H797="","",IF(AND(Acciones!$H797&gt;=TODAY(),ISBLANK(Acciones!$J797)=TRUE),"En tiempo",IF(AND(Acciones!$H797&lt;TODAY(),Acciones!$J797=""),"Retrasado",IF(Acciones!$J797&gt;Acciones!$H797,"Cerrado con retraso","Cerrado")))))</f>
        <v/>
      </c>
      <c r="L797" s="61"/>
      <c r="M797" s="74"/>
      <c r="T797" s="26"/>
      <c r="U797" s="26"/>
    </row>
    <row r="798" spans="2:21" x14ac:dyDescent="0.3">
      <c r="B798" s="53"/>
      <c r="C798" s="65"/>
      <c r="D798" s="61"/>
      <c r="E798" s="56"/>
      <c r="F798" s="53"/>
      <c r="G798" s="53" t="str">
        <f>IF(ISBLANK(Acciones!$H798)=TRUE," ",WEEKNUM(Acciones!$H798,21))</f>
        <v xml:space="preserve"> </v>
      </c>
      <c r="H798" s="53"/>
      <c r="I798" s="66"/>
      <c r="J798" s="53"/>
      <c r="K798" s="48" t="str">
        <f ca="1">IF(AND(ISBLANK(Acciones!$D798)=FALSE,ISBLANK(Acciones!$H798)=TRUE),"Faltan fechas",IF(Acciones!$H798="","",IF(AND(Acciones!$H798&gt;=TODAY(),ISBLANK(Acciones!$J798)=TRUE),"En tiempo",IF(AND(Acciones!$H798&lt;TODAY(),Acciones!$J798=""),"Retrasado",IF(Acciones!$J798&gt;Acciones!$H798,"Cerrado con retraso","Cerrado")))))</f>
        <v/>
      </c>
      <c r="L798" s="61"/>
      <c r="M798" s="74"/>
      <c r="T798" s="26"/>
      <c r="U798" s="26"/>
    </row>
    <row r="799" spans="2:21" x14ac:dyDescent="0.3">
      <c r="B799" s="53"/>
      <c r="C799" s="65"/>
      <c r="D799" s="61"/>
      <c r="E799" s="56"/>
      <c r="F799" s="53"/>
      <c r="G799" s="53" t="str">
        <f>IF(ISBLANK(Acciones!$H799)=TRUE," ",WEEKNUM(Acciones!$H799,21))</f>
        <v xml:space="preserve"> </v>
      </c>
      <c r="H799" s="53"/>
      <c r="I799" s="66"/>
      <c r="J799" s="53"/>
      <c r="K799" s="48" t="str">
        <f ca="1">IF(AND(ISBLANK(Acciones!$D799)=FALSE,ISBLANK(Acciones!$H799)=TRUE),"Faltan fechas",IF(Acciones!$H799="","",IF(AND(Acciones!$H799&gt;=TODAY(),ISBLANK(Acciones!$J799)=TRUE),"En tiempo",IF(AND(Acciones!$H799&lt;TODAY(),Acciones!$J799=""),"Retrasado",IF(Acciones!$J799&gt;Acciones!$H799,"Cerrado con retraso","Cerrado")))))</f>
        <v/>
      </c>
      <c r="L799" s="61"/>
      <c r="M799" s="74"/>
      <c r="T799" s="26"/>
      <c r="U799" s="26"/>
    </row>
    <row r="800" spans="2:21" x14ac:dyDescent="0.3">
      <c r="B800" s="53"/>
      <c r="C800" s="65"/>
      <c r="D800" s="61"/>
      <c r="E800" s="56"/>
      <c r="F800" s="53"/>
      <c r="G800" s="53" t="str">
        <f>IF(ISBLANK(Acciones!$H800)=TRUE," ",WEEKNUM(Acciones!$H800,21))</f>
        <v xml:space="preserve"> </v>
      </c>
      <c r="H800" s="53"/>
      <c r="I800" s="66"/>
      <c r="J800" s="53"/>
      <c r="K800" s="48" t="str">
        <f ca="1">IF(AND(ISBLANK(Acciones!$D800)=FALSE,ISBLANK(Acciones!$H800)=TRUE),"Faltan fechas",IF(Acciones!$H800="","",IF(AND(Acciones!$H800&gt;=TODAY(),ISBLANK(Acciones!$J800)=TRUE),"En tiempo",IF(AND(Acciones!$H800&lt;TODAY(),Acciones!$J800=""),"Retrasado",IF(Acciones!$J800&gt;Acciones!$H800,"Cerrado con retraso","Cerrado")))))</f>
        <v/>
      </c>
      <c r="L800" s="61"/>
      <c r="M800" s="74"/>
      <c r="T800" s="26"/>
      <c r="U800" s="26"/>
    </row>
    <row r="801" spans="2:21" x14ac:dyDescent="0.3">
      <c r="B801" s="53"/>
      <c r="C801" s="65"/>
      <c r="D801" s="61"/>
      <c r="E801" s="56"/>
      <c r="F801" s="53"/>
      <c r="G801" s="53" t="str">
        <f>IF(ISBLANK(Acciones!$H801)=TRUE," ",WEEKNUM(Acciones!$H801,21))</f>
        <v xml:space="preserve"> </v>
      </c>
      <c r="H801" s="53"/>
      <c r="I801" s="66"/>
      <c r="J801" s="53"/>
      <c r="K801" s="48" t="str">
        <f ca="1">IF(AND(ISBLANK(Acciones!$D801)=FALSE,ISBLANK(Acciones!$H801)=TRUE),"Faltan fechas",IF(Acciones!$H801="","",IF(AND(Acciones!$H801&gt;=TODAY(),ISBLANK(Acciones!$J801)=TRUE),"En tiempo",IF(AND(Acciones!$H801&lt;TODAY(),Acciones!$J801=""),"Retrasado",IF(Acciones!$J801&gt;Acciones!$H801,"Cerrado con retraso","Cerrado")))))</f>
        <v/>
      </c>
      <c r="L801" s="61"/>
      <c r="M801" s="74"/>
      <c r="T801" s="26"/>
      <c r="U801" s="26"/>
    </row>
    <row r="802" spans="2:21" x14ac:dyDescent="0.3">
      <c r="B802" s="53"/>
      <c r="C802" s="65"/>
      <c r="D802" s="61"/>
      <c r="E802" s="56"/>
      <c r="F802" s="53"/>
      <c r="G802" s="53" t="str">
        <f>IF(ISBLANK(Acciones!$H802)=TRUE," ",WEEKNUM(Acciones!$H802,21))</f>
        <v xml:space="preserve"> </v>
      </c>
      <c r="H802" s="53"/>
      <c r="I802" s="66"/>
      <c r="J802" s="53"/>
      <c r="K802" s="48" t="str">
        <f ca="1">IF(AND(ISBLANK(Acciones!$D802)=FALSE,ISBLANK(Acciones!$H802)=TRUE),"Faltan fechas",IF(Acciones!$H802="","",IF(AND(Acciones!$H802&gt;=TODAY(),ISBLANK(Acciones!$J802)=TRUE),"En tiempo",IF(AND(Acciones!$H802&lt;TODAY(),Acciones!$J802=""),"Retrasado",IF(Acciones!$J802&gt;Acciones!$H802,"Cerrado con retraso","Cerrado")))))</f>
        <v/>
      </c>
      <c r="L802" s="61"/>
      <c r="M802" s="74"/>
      <c r="T802" s="26"/>
      <c r="U802" s="26"/>
    </row>
    <row r="803" spans="2:21" x14ac:dyDescent="0.3">
      <c r="B803" s="53"/>
      <c r="C803" s="65"/>
      <c r="D803" s="61"/>
      <c r="E803" s="56"/>
      <c r="F803" s="53"/>
      <c r="G803" s="53" t="str">
        <f>IF(ISBLANK(Acciones!$H803)=TRUE," ",WEEKNUM(Acciones!$H803,21))</f>
        <v xml:space="preserve"> </v>
      </c>
      <c r="H803" s="53"/>
      <c r="I803" s="66"/>
      <c r="J803" s="53"/>
      <c r="K803" s="48" t="str">
        <f ca="1">IF(AND(ISBLANK(Acciones!$D803)=FALSE,ISBLANK(Acciones!$H803)=TRUE),"Faltan fechas",IF(Acciones!$H803="","",IF(AND(Acciones!$H803&gt;=TODAY(),ISBLANK(Acciones!$J803)=TRUE),"En tiempo",IF(AND(Acciones!$H803&lt;TODAY(),Acciones!$J803=""),"Retrasado",IF(Acciones!$J803&gt;Acciones!$H803,"Cerrado con retraso","Cerrado")))))</f>
        <v/>
      </c>
      <c r="L803" s="61"/>
      <c r="M803" s="74"/>
      <c r="T803" s="26"/>
      <c r="U803" s="26"/>
    </row>
    <row r="804" spans="2:21" x14ac:dyDescent="0.3">
      <c r="B804" s="53"/>
      <c r="C804" s="65"/>
      <c r="D804" s="61"/>
      <c r="E804" s="56"/>
      <c r="F804" s="53"/>
      <c r="G804" s="53" t="str">
        <f>IF(ISBLANK(Acciones!$H804)=TRUE," ",WEEKNUM(Acciones!$H804,21))</f>
        <v xml:space="preserve"> </v>
      </c>
      <c r="H804" s="53"/>
      <c r="I804" s="66"/>
      <c r="J804" s="53"/>
      <c r="K804" s="48" t="str">
        <f ca="1">IF(AND(ISBLANK(Acciones!$D804)=FALSE,ISBLANK(Acciones!$H804)=TRUE),"Faltan fechas",IF(Acciones!$H804="","",IF(AND(Acciones!$H804&gt;=TODAY(),ISBLANK(Acciones!$J804)=TRUE),"En tiempo",IF(AND(Acciones!$H804&lt;TODAY(),Acciones!$J804=""),"Retrasado",IF(Acciones!$J804&gt;Acciones!$H804,"Cerrado con retraso","Cerrado")))))</f>
        <v/>
      </c>
      <c r="L804" s="61"/>
      <c r="M804" s="74"/>
      <c r="T804" s="26"/>
      <c r="U804" s="26"/>
    </row>
    <row r="805" spans="2:21" x14ac:dyDescent="0.3">
      <c r="B805" s="53"/>
      <c r="C805" s="65"/>
      <c r="D805" s="61"/>
      <c r="E805" s="56"/>
      <c r="F805" s="53"/>
      <c r="G805" s="53" t="str">
        <f>IF(ISBLANK(Acciones!$H805)=TRUE," ",WEEKNUM(Acciones!$H805,21))</f>
        <v xml:space="preserve"> </v>
      </c>
      <c r="H805" s="53"/>
      <c r="I805" s="66"/>
      <c r="J805" s="53"/>
      <c r="K805" s="48" t="str">
        <f ca="1">IF(AND(ISBLANK(Acciones!$D805)=FALSE,ISBLANK(Acciones!$H805)=TRUE),"Faltan fechas",IF(Acciones!$H805="","",IF(AND(Acciones!$H805&gt;=TODAY(),ISBLANK(Acciones!$J805)=TRUE),"En tiempo",IF(AND(Acciones!$H805&lt;TODAY(),Acciones!$J805=""),"Retrasado",IF(Acciones!$J805&gt;Acciones!$H805,"Cerrado con retraso","Cerrado")))))</f>
        <v/>
      </c>
      <c r="L805" s="61"/>
      <c r="M805" s="74"/>
      <c r="T805" s="26"/>
      <c r="U805" s="26"/>
    </row>
    <row r="806" spans="2:21" x14ac:dyDescent="0.3">
      <c r="B806" s="53"/>
      <c r="C806" s="65"/>
      <c r="D806" s="61"/>
      <c r="E806" s="56"/>
      <c r="F806" s="53"/>
      <c r="G806" s="53" t="str">
        <f>IF(ISBLANK(Acciones!$H806)=TRUE," ",WEEKNUM(Acciones!$H806,21))</f>
        <v xml:space="preserve"> </v>
      </c>
      <c r="H806" s="53"/>
      <c r="I806" s="66"/>
      <c r="J806" s="53"/>
      <c r="K806" s="48" t="str">
        <f ca="1">IF(AND(ISBLANK(Acciones!$D806)=FALSE,ISBLANK(Acciones!$H806)=TRUE),"Faltan fechas",IF(Acciones!$H806="","",IF(AND(Acciones!$H806&gt;=TODAY(),ISBLANK(Acciones!$J806)=TRUE),"En tiempo",IF(AND(Acciones!$H806&lt;TODAY(),Acciones!$J806=""),"Retrasado",IF(Acciones!$J806&gt;Acciones!$H806,"Cerrado con retraso","Cerrado")))))</f>
        <v/>
      </c>
      <c r="L806" s="61"/>
      <c r="M806" s="74"/>
      <c r="T806" s="26"/>
      <c r="U806" s="26"/>
    </row>
    <row r="807" spans="2:21" x14ac:dyDescent="0.3">
      <c r="B807" s="53"/>
      <c r="C807" s="65"/>
      <c r="D807" s="61"/>
      <c r="E807" s="56"/>
      <c r="F807" s="53"/>
      <c r="G807" s="53" t="str">
        <f>IF(ISBLANK(Acciones!$H807)=TRUE," ",WEEKNUM(Acciones!$H807,21))</f>
        <v xml:space="preserve"> </v>
      </c>
      <c r="H807" s="53"/>
      <c r="I807" s="66"/>
      <c r="J807" s="53"/>
      <c r="K807" s="48" t="str">
        <f ca="1">IF(AND(ISBLANK(Acciones!$D807)=FALSE,ISBLANK(Acciones!$H807)=TRUE),"Faltan fechas",IF(Acciones!$H807="","",IF(AND(Acciones!$H807&gt;=TODAY(),ISBLANK(Acciones!$J807)=TRUE),"En tiempo",IF(AND(Acciones!$H807&lt;TODAY(),Acciones!$J807=""),"Retrasado",IF(Acciones!$J807&gt;Acciones!$H807,"Cerrado con retraso","Cerrado")))))</f>
        <v/>
      </c>
      <c r="L807" s="61"/>
      <c r="M807" s="74"/>
      <c r="T807" s="26"/>
      <c r="U807" s="26"/>
    </row>
    <row r="808" spans="2:21" x14ac:dyDescent="0.3">
      <c r="B808" s="53"/>
      <c r="C808" s="65"/>
      <c r="D808" s="61"/>
      <c r="E808" s="56"/>
      <c r="F808" s="53"/>
      <c r="G808" s="53" t="str">
        <f>IF(ISBLANK(Acciones!$H808)=TRUE," ",WEEKNUM(Acciones!$H808,21))</f>
        <v xml:space="preserve"> </v>
      </c>
      <c r="H808" s="53"/>
      <c r="I808" s="66"/>
      <c r="J808" s="53"/>
      <c r="K808" s="48" t="str">
        <f ca="1">IF(AND(ISBLANK(Acciones!$D808)=FALSE,ISBLANK(Acciones!$H808)=TRUE),"Faltan fechas",IF(Acciones!$H808="","",IF(AND(Acciones!$H808&gt;=TODAY(),ISBLANK(Acciones!$J808)=TRUE),"En tiempo",IF(AND(Acciones!$H808&lt;TODAY(),Acciones!$J808=""),"Retrasado",IF(Acciones!$J808&gt;Acciones!$H808,"Cerrado con retraso","Cerrado")))))</f>
        <v/>
      </c>
      <c r="L808" s="61"/>
      <c r="M808" s="74"/>
      <c r="T808" s="26"/>
      <c r="U808" s="26"/>
    </row>
    <row r="809" spans="2:21" x14ac:dyDescent="0.3">
      <c r="B809" s="53"/>
      <c r="C809" s="65"/>
      <c r="D809" s="61"/>
      <c r="E809" s="56"/>
      <c r="F809" s="53"/>
      <c r="G809" s="53" t="str">
        <f>IF(ISBLANK(Acciones!$H809)=TRUE," ",WEEKNUM(Acciones!$H809,21))</f>
        <v xml:space="preserve"> </v>
      </c>
      <c r="H809" s="53"/>
      <c r="I809" s="66"/>
      <c r="J809" s="53"/>
      <c r="K809" s="48" t="str">
        <f ca="1">IF(AND(ISBLANK(Acciones!$D809)=FALSE,ISBLANK(Acciones!$H809)=TRUE),"Faltan fechas",IF(Acciones!$H809="","",IF(AND(Acciones!$H809&gt;=TODAY(),ISBLANK(Acciones!$J809)=TRUE),"En tiempo",IF(AND(Acciones!$H809&lt;TODAY(),Acciones!$J809=""),"Retrasado",IF(Acciones!$J809&gt;Acciones!$H809,"Cerrado con retraso","Cerrado")))))</f>
        <v/>
      </c>
      <c r="L809" s="61"/>
      <c r="M809" s="74"/>
      <c r="T809" s="26"/>
      <c r="U809" s="26"/>
    </row>
    <row r="810" spans="2:21" x14ac:dyDescent="0.3">
      <c r="B810" s="53"/>
      <c r="C810" s="65"/>
      <c r="D810" s="61"/>
      <c r="E810" s="56"/>
      <c r="F810" s="53"/>
      <c r="G810" s="53" t="str">
        <f>IF(ISBLANK(Acciones!$H810)=TRUE," ",WEEKNUM(Acciones!$H810,21))</f>
        <v xml:space="preserve"> </v>
      </c>
      <c r="H810" s="53"/>
      <c r="I810" s="66"/>
      <c r="J810" s="53"/>
      <c r="K810" s="48" t="str">
        <f ca="1">IF(AND(ISBLANK(Acciones!$D810)=FALSE,ISBLANK(Acciones!$H810)=TRUE),"Faltan fechas",IF(Acciones!$H810="","",IF(AND(Acciones!$H810&gt;=TODAY(),ISBLANK(Acciones!$J810)=TRUE),"En tiempo",IF(AND(Acciones!$H810&lt;TODAY(),Acciones!$J810=""),"Retrasado",IF(Acciones!$J810&gt;Acciones!$H810,"Cerrado con retraso","Cerrado")))))</f>
        <v/>
      </c>
      <c r="L810" s="61"/>
      <c r="M810" s="74"/>
      <c r="T810" s="26"/>
      <c r="U810" s="26"/>
    </row>
    <row r="811" spans="2:21" x14ac:dyDescent="0.3">
      <c r="B811" s="53"/>
      <c r="C811" s="65"/>
      <c r="D811" s="61"/>
      <c r="E811" s="56"/>
      <c r="F811" s="53"/>
      <c r="G811" s="53" t="str">
        <f>IF(ISBLANK(Acciones!$H811)=TRUE," ",WEEKNUM(Acciones!$H811,21))</f>
        <v xml:space="preserve"> </v>
      </c>
      <c r="H811" s="53"/>
      <c r="I811" s="66"/>
      <c r="J811" s="53"/>
      <c r="K811" s="48" t="str">
        <f ca="1">IF(AND(ISBLANK(Acciones!$D811)=FALSE,ISBLANK(Acciones!$H811)=TRUE),"Faltan fechas",IF(Acciones!$H811="","",IF(AND(Acciones!$H811&gt;=TODAY(),ISBLANK(Acciones!$J811)=TRUE),"En tiempo",IF(AND(Acciones!$H811&lt;TODAY(),Acciones!$J811=""),"Retrasado",IF(Acciones!$J811&gt;Acciones!$H811,"Cerrado con retraso","Cerrado")))))</f>
        <v/>
      </c>
      <c r="L811" s="61"/>
      <c r="M811" s="74"/>
      <c r="T811" s="26"/>
      <c r="U811" s="26"/>
    </row>
    <row r="812" spans="2:21" x14ac:dyDescent="0.3">
      <c r="B812" s="53"/>
      <c r="C812" s="65"/>
      <c r="D812" s="61"/>
      <c r="E812" s="56"/>
      <c r="F812" s="53"/>
      <c r="G812" s="53" t="str">
        <f>IF(ISBLANK(Acciones!$H812)=TRUE," ",WEEKNUM(Acciones!$H812,21))</f>
        <v xml:space="preserve"> </v>
      </c>
      <c r="H812" s="53"/>
      <c r="I812" s="66"/>
      <c r="J812" s="53"/>
      <c r="K812" s="48" t="str">
        <f ca="1">IF(AND(ISBLANK(Acciones!$D812)=FALSE,ISBLANK(Acciones!$H812)=TRUE),"Faltan fechas",IF(Acciones!$H812="","",IF(AND(Acciones!$H812&gt;=TODAY(),ISBLANK(Acciones!$J812)=TRUE),"En tiempo",IF(AND(Acciones!$H812&lt;TODAY(),Acciones!$J812=""),"Retrasado",IF(Acciones!$J812&gt;Acciones!$H812,"Cerrado con retraso","Cerrado")))))</f>
        <v/>
      </c>
      <c r="L812" s="61"/>
      <c r="M812" s="74"/>
      <c r="T812" s="26"/>
      <c r="U812" s="26"/>
    </row>
    <row r="813" spans="2:21" x14ac:dyDescent="0.3">
      <c r="B813" s="53"/>
      <c r="C813" s="65"/>
      <c r="D813" s="61"/>
      <c r="E813" s="56"/>
      <c r="F813" s="53"/>
      <c r="G813" s="53" t="str">
        <f>IF(ISBLANK(Acciones!$H813)=TRUE," ",WEEKNUM(Acciones!$H813,21))</f>
        <v xml:space="preserve"> </v>
      </c>
      <c r="H813" s="53"/>
      <c r="I813" s="66"/>
      <c r="J813" s="53"/>
      <c r="K813" s="48" t="str">
        <f ca="1">IF(AND(ISBLANK(Acciones!$D813)=FALSE,ISBLANK(Acciones!$H813)=TRUE),"Faltan fechas",IF(Acciones!$H813="","",IF(AND(Acciones!$H813&gt;=TODAY(),ISBLANK(Acciones!$J813)=TRUE),"En tiempo",IF(AND(Acciones!$H813&lt;TODAY(),Acciones!$J813=""),"Retrasado",IF(Acciones!$J813&gt;Acciones!$H813,"Cerrado con retraso","Cerrado")))))</f>
        <v/>
      </c>
      <c r="L813" s="61"/>
      <c r="M813" s="74"/>
      <c r="T813" s="26"/>
      <c r="U813" s="26"/>
    </row>
    <row r="814" spans="2:21" x14ac:dyDescent="0.3">
      <c r="B814" s="53"/>
      <c r="C814" s="65"/>
      <c r="D814" s="61"/>
      <c r="E814" s="56"/>
      <c r="F814" s="53"/>
      <c r="G814" s="53" t="str">
        <f>IF(ISBLANK(Acciones!$H814)=TRUE," ",WEEKNUM(Acciones!$H814,21))</f>
        <v xml:space="preserve"> </v>
      </c>
      <c r="H814" s="53"/>
      <c r="I814" s="66"/>
      <c r="J814" s="53"/>
      <c r="K814" s="48" t="str">
        <f ca="1">IF(AND(ISBLANK(Acciones!$D814)=FALSE,ISBLANK(Acciones!$H814)=TRUE),"Faltan fechas",IF(Acciones!$H814="","",IF(AND(Acciones!$H814&gt;=TODAY(),ISBLANK(Acciones!$J814)=TRUE),"En tiempo",IF(AND(Acciones!$H814&lt;TODAY(),Acciones!$J814=""),"Retrasado",IF(Acciones!$J814&gt;Acciones!$H814,"Cerrado con retraso","Cerrado")))))</f>
        <v/>
      </c>
      <c r="L814" s="61"/>
      <c r="M814" s="74"/>
      <c r="T814" s="26"/>
      <c r="U814" s="26"/>
    </row>
    <row r="815" spans="2:21" x14ac:dyDescent="0.3">
      <c r="B815" s="53"/>
      <c r="C815" s="65"/>
      <c r="D815" s="61"/>
      <c r="E815" s="56"/>
      <c r="F815" s="53"/>
      <c r="G815" s="53" t="str">
        <f>IF(ISBLANK(Acciones!$H815)=TRUE," ",WEEKNUM(Acciones!$H815,21))</f>
        <v xml:space="preserve"> </v>
      </c>
      <c r="H815" s="53"/>
      <c r="I815" s="66"/>
      <c r="J815" s="53"/>
      <c r="K815" s="48" t="str">
        <f ca="1">IF(AND(ISBLANK(Acciones!$D815)=FALSE,ISBLANK(Acciones!$H815)=TRUE),"Faltan fechas",IF(Acciones!$H815="","",IF(AND(Acciones!$H815&gt;=TODAY(),ISBLANK(Acciones!$J815)=TRUE),"En tiempo",IF(AND(Acciones!$H815&lt;TODAY(),Acciones!$J815=""),"Retrasado",IF(Acciones!$J815&gt;Acciones!$H815,"Cerrado con retraso","Cerrado")))))</f>
        <v/>
      </c>
      <c r="L815" s="61"/>
      <c r="M815" s="74"/>
      <c r="T815" s="26"/>
      <c r="U815" s="26"/>
    </row>
    <row r="816" spans="2:21" x14ac:dyDescent="0.3">
      <c r="B816" s="53"/>
      <c r="C816" s="65"/>
      <c r="D816" s="61"/>
      <c r="E816" s="56"/>
      <c r="F816" s="53"/>
      <c r="G816" s="53" t="str">
        <f>IF(ISBLANK(Acciones!$H816)=TRUE," ",WEEKNUM(Acciones!$H816,21))</f>
        <v xml:space="preserve"> </v>
      </c>
      <c r="H816" s="53"/>
      <c r="I816" s="66"/>
      <c r="J816" s="53"/>
      <c r="K816" s="48" t="str">
        <f ca="1">IF(AND(ISBLANK(Acciones!$D816)=FALSE,ISBLANK(Acciones!$H816)=TRUE),"Faltan fechas",IF(Acciones!$H816="","",IF(AND(Acciones!$H816&gt;=TODAY(),ISBLANK(Acciones!$J816)=TRUE),"En tiempo",IF(AND(Acciones!$H816&lt;TODAY(),Acciones!$J816=""),"Retrasado",IF(Acciones!$J816&gt;Acciones!$H816,"Cerrado con retraso","Cerrado")))))</f>
        <v/>
      </c>
      <c r="L816" s="61"/>
      <c r="M816" s="74"/>
      <c r="T816" s="26"/>
      <c r="U816" s="26"/>
    </row>
    <row r="817" spans="2:21" x14ac:dyDescent="0.3">
      <c r="B817" s="53"/>
      <c r="C817" s="65"/>
      <c r="D817" s="61"/>
      <c r="E817" s="56"/>
      <c r="F817" s="53"/>
      <c r="G817" s="53" t="str">
        <f>IF(ISBLANK(Acciones!$H817)=TRUE," ",WEEKNUM(Acciones!$H817,21))</f>
        <v xml:space="preserve"> </v>
      </c>
      <c r="H817" s="53"/>
      <c r="I817" s="66"/>
      <c r="J817" s="53"/>
      <c r="K817" s="48" t="str">
        <f ca="1">IF(AND(ISBLANK(Acciones!$D817)=FALSE,ISBLANK(Acciones!$H817)=TRUE),"Faltan fechas",IF(Acciones!$H817="","",IF(AND(Acciones!$H817&gt;=TODAY(),ISBLANK(Acciones!$J817)=TRUE),"En tiempo",IF(AND(Acciones!$H817&lt;TODAY(),Acciones!$J817=""),"Retrasado",IF(Acciones!$J817&gt;Acciones!$H817,"Cerrado con retraso","Cerrado")))))</f>
        <v/>
      </c>
      <c r="L817" s="61"/>
      <c r="M817" s="74"/>
      <c r="T817" s="26"/>
      <c r="U817" s="26"/>
    </row>
    <row r="818" spans="2:21" x14ac:dyDescent="0.3">
      <c r="B818" s="53"/>
      <c r="C818" s="65"/>
      <c r="D818" s="61"/>
      <c r="E818" s="56"/>
      <c r="F818" s="53"/>
      <c r="G818" s="53" t="str">
        <f>IF(ISBLANK(Acciones!$H818)=TRUE," ",WEEKNUM(Acciones!$H818,21))</f>
        <v xml:space="preserve"> </v>
      </c>
      <c r="H818" s="53"/>
      <c r="I818" s="66"/>
      <c r="J818" s="53"/>
      <c r="K818" s="48" t="str">
        <f ca="1">IF(AND(ISBLANK(Acciones!$D818)=FALSE,ISBLANK(Acciones!$H818)=TRUE),"Faltan fechas",IF(Acciones!$H818="","",IF(AND(Acciones!$H818&gt;=TODAY(),ISBLANK(Acciones!$J818)=TRUE),"En tiempo",IF(AND(Acciones!$H818&lt;TODAY(),Acciones!$J818=""),"Retrasado",IF(Acciones!$J818&gt;Acciones!$H818,"Cerrado con retraso","Cerrado")))))</f>
        <v/>
      </c>
      <c r="L818" s="61"/>
      <c r="M818" s="74"/>
      <c r="T818" s="26"/>
      <c r="U818" s="26"/>
    </row>
    <row r="819" spans="2:21" x14ac:dyDescent="0.3">
      <c r="B819" s="53"/>
      <c r="C819" s="65"/>
      <c r="D819" s="61"/>
      <c r="E819" s="56"/>
      <c r="F819" s="53"/>
      <c r="G819" s="53" t="str">
        <f>IF(ISBLANK(Acciones!$H819)=TRUE," ",WEEKNUM(Acciones!$H819,21))</f>
        <v xml:space="preserve"> </v>
      </c>
      <c r="H819" s="53"/>
      <c r="I819" s="66"/>
      <c r="J819" s="53"/>
      <c r="K819" s="48" t="str">
        <f ca="1">IF(AND(ISBLANK(Acciones!$D819)=FALSE,ISBLANK(Acciones!$H819)=TRUE),"Faltan fechas",IF(Acciones!$H819="","",IF(AND(Acciones!$H819&gt;=TODAY(),ISBLANK(Acciones!$J819)=TRUE),"En tiempo",IF(AND(Acciones!$H819&lt;TODAY(),Acciones!$J819=""),"Retrasado",IF(Acciones!$J819&gt;Acciones!$H819,"Cerrado con retraso","Cerrado")))))</f>
        <v/>
      </c>
      <c r="L819" s="61"/>
      <c r="M819" s="74"/>
      <c r="T819" s="26"/>
      <c r="U819" s="26"/>
    </row>
    <row r="820" spans="2:21" x14ac:dyDescent="0.3">
      <c r="B820" s="53"/>
      <c r="C820" s="65"/>
      <c r="D820" s="61"/>
      <c r="E820" s="56"/>
      <c r="F820" s="53"/>
      <c r="G820" s="53" t="str">
        <f>IF(ISBLANK(Acciones!$H820)=TRUE," ",WEEKNUM(Acciones!$H820,21))</f>
        <v xml:space="preserve"> </v>
      </c>
      <c r="H820" s="53"/>
      <c r="I820" s="66"/>
      <c r="J820" s="53"/>
      <c r="K820" s="48" t="str">
        <f ca="1">IF(AND(ISBLANK(Acciones!$D820)=FALSE,ISBLANK(Acciones!$H820)=TRUE),"Faltan fechas",IF(Acciones!$H820="","",IF(AND(Acciones!$H820&gt;=TODAY(),ISBLANK(Acciones!$J820)=TRUE),"En tiempo",IF(AND(Acciones!$H820&lt;TODAY(),Acciones!$J820=""),"Retrasado",IF(Acciones!$J820&gt;Acciones!$H820,"Cerrado con retraso","Cerrado")))))</f>
        <v/>
      </c>
      <c r="L820" s="61"/>
      <c r="M820" s="74"/>
      <c r="T820" s="26"/>
      <c r="U820" s="26"/>
    </row>
    <row r="821" spans="2:21" x14ac:dyDescent="0.3">
      <c r="B821" s="53"/>
      <c r="C821" s="65"/>
      <c r="D821" s="61"/>
      <c r="E821" s="56"/>
      <c r="F821" s="53"/>
      <c r="G821" s="53" t="str">
        <f>IF(ISBLANK(Acciones!$H821)=TRUE," ",WEEKNUM(Acciones!$H821,21))</f>
        <v xml:space="preserve"> </v>
      </c>
      <c r="H821" s="53"/>
      <c r="I821" s="66"/>
      <c r="J821" s="53"/>
      <c r="K821" s="48" t="str">
        <f ca="1">IF(AND(ISBLANK(Acciones!$D821)=FALSE,ISBLANK(Acciones!$H821)=TRUE),"Faltan fechas",IF(Acciones!$H821="","",IF(AND(Acciones!$H821&gt;=TODAY(),ISBLANK(Acciones!$J821)=TRUE),"En tiempo",IF(AND(Acciones!$H821&lt;TODAY(),Acciones!$J821=""),"Retrasado",IF(Acciones!$J821&gt;Acciones!$H821,"Cerrado con retraso","Cerrado")))))</f>
        <v/>
      </c>
      <c r="L821" s="61"/>
      <c r="M821" s="74"/>
      <c r="T821" s="26"/>
      <c r="U821" s="26"/>
    </row>
    <row r="822" spans="2:21" x14ac:dyDescent="0.3">
      <c r="B822" s="53"/>
      <c r="C822" s="65"/>
      <c r="D822" s="61"/>
      <c r="E822" s="56"/>
      <c r="F822" s="53"/>
      <c r="G822" s="53" t="str">
        <f>IF(ISBLANK(Acciones!$H822)=TRUE," ",WEEKNUM(Acciones!$H822,21))</f>
        <v xml:space="preserve"> </v>
      </c>
      <c r="H822" s="53"/>
      <c r="I822" s="66"/>
      <c r="J822" s="53"/>
      <c r="K822" s="48" t="str">
        <f ca="1">IF(AND(ISBLANK(Acciones!$D822)=FALSE,ISBLANK(Acciones!$H822)=TRUE),"Faltan fechas",IF(Acciones!$H822="","",IF(AND(Acciones!$H822&gt;=TODAY(),ISBLANK(Acciones!$J822)=TRUE),"En tiempo",IF(AND(Acciones!$H822&lt;TODAY(),Acciones!$J822=""),"Retrasado",IF(Acciones!$J822&gt;Acciones!$H822,"Cerrado con retraso","Cerrado")))))</f>
        <v/>
      </c>
      <c r="L822" s="61"/>
      <c r="M822" s="74"/>
      <c r="T822" s="26"/>
      <c r="U822" s="26"/>
    </row>
    <row r="823" spans="2:21" x14ac:dyDescent="0.3">
      <c r="B823" s="53"/>
      <c r="C823" s="65"/>
      <c r="D823" s="61"/>
      <c r="E823" s="56"/>
      <c r="F823" s="53"/>
      <c r="G823" s="53" t="str">
        <f>IF(ISBLANK(Acciones!$H823)=TRUE," ",WEEKNUM(Acciones!$H823,21))</f>
        <v xml:space="preserve"> </v>
      </c>
      <c r="H823" s="53"/>
      <c r="I823" s="66"/>
      <c r="J823" s="53"/>
      <c r="K823" s="48" t="str">
        <f ca="1">IF(AND(ISBLANK(Acciones!$D823)=FALSE,ISBLANK(Acciones!$H823)=TRUE),"Faltan fechas",IF(Acciones!$H823="","",IF(AND(Acciones!$H823&gt;=TODAY(),ISBLANK(Acciones!$J823)=TRUE),"En tiempo",IF(AND(Acciones!$H823&lt;TODAY(),Acciones!$J823=""),"Retrasado",IF(Acciones!$J823&gt;Acciones!$H823,"Cerrado con retraso","Cerrado")))))</f>
        <v/>
      </c>
      <c r="L823" s="61"/>
      <c r="M823" s="74"/>
      <c r="T823" s="26"/>
      <c r="U823" s="26"/>
    </row>
    <row r="824" spans="2:21" x14ac:dyDescent="0.3">
      <c r="B824" s="53"/>
      <c r="C824" s="65"/>
      <c r="D824" s="61"/>
      <c r="E824" s="56"/>
      <c r="F824" s="53"/>
      <c r="G824" s="53" t="str">
        <f>IF(ISBLANK(Acciones!$H824)=TRUE," ",WEEKNUM(Acciones!$H824,21))</f>
        <v xml:space="preserve"> </v>
      </c>
      <c r="H824" s="53"/>
      <c r="I824" s="66"/>
      <c r="J824" s="53"/>
      <c r="K824" s="48" t="str">
        <f ca="1">IF(AND(ISBLANK(Acciones!$D824)=FALSE,ISBLANK(Acciones!$H824)=TRUE),"Faltan fechas",IF(Acciones!$H824="","",IF(AND(Acciones!$H824&gt;=TODAY(),ISBLANK(Acciones!$J824)=TRUE),"En tiempo",IF(AND(Acciones!$H824&lt;TODAY(),Acciones!$J824=""),"Retrasado",IF(Acciones!$J824&gt;Acciones!$H824,"Cerrado con retraso","Cerrado")))))</f>
        <v/>
      </c>
      <c r="L824" s="61"/>
      <c r="M824" s="74"/>
      <c r="T824" s="26"/>
      <c r="U824" s="26"/>
    </row>
    <row r="825" spans="2:21" x14ac:dyDescent="0.3">
      <c r="B825" s="53"/>
      <c r="C825" s="65"/>
      <c r="D825" s="61"/>
      <c r="E825" s="56"/>
      <c r="F825" s="53"/>
      <c r="G825" s="53" t="str">
        <f>IF(ISBLANK(Acciones!$H825)=TRUE," ",WEEKNUM(Acciones!$H825,21))</f>
        <v xml:space="preserve"> </v>
      </c>
      <c r="H825" s="53"/>
      <c r="I825" s="66"/>
      <c r="J825" s="53"/>
      <c r="K825" s="48" t="str">
        <f ca="1">IF(AND(ISBLANK(Acciones!$D825)=FALSE,ISBLANK(Acciones!$H825)=TRUE),"Faltan fechas",IF(Acciones!$H825="","",IF(AND(Acciones!$H825&gt;=TODAY(),ISBLANK(Acciones!$J825)=TRUE),"En tiempo",IF(AND(Acciones!$H825&lt;TODAY(),Acciones!$J825=""),"Retrasado",IF(Acciones!$J825&gt;Acciones!$H825,"Cerrado con retraso","Cerrado")))))</f>
        <v/>
      </c>
      <c r="L825" s="61"/>
      <c r="M825" s="74"/>
      <c r="T825" s="26"/>
      <c r="U825" s="26"/>
    </row>
    <row r="826" spans="2:21" x14ac:dyDescent="0.3">
      <c r="B826" s="53"/>
      <c r="C826" s="65"/>
      <c r="D826" s="61"/>
      <c r="E826" s="56"/>
      <c r="F826" s="53"/>
      <c r="G826" s="53" t="str">
        <f>IF(ISBLANK(Acciones!$H826)=TRUE," ",WEEKNUM(Acciones!$H826,21))</f>
        <v xml:space="preserve"> </v>
      </c>
      <c r="H826" s="53"/>
      <c r="I826" s="66"/>
      <c r="J826" s="53"/>
      <c r="K826" s="48" t="str">
        <f ca="1">IF(AND(ISBLANK(Acciones!$D826)=FALSE,ISBLANK(Acciones!$H826)=TRUE),"Faltan fechas",IF(Acciones!$H826="","",IF(AND(Acciones!$H826&gt;=TODAY(),ISBLANK(Acciones!$J826)=TRUE),"En tiempo",IF(AND(Acciones!$H826&lt;TODAY(),Acciones!$J826=""),"Retrasado",IF(Acciones!$J826&gt;Acciones!$H826,"Cerrado con retraso","Cerrado")))))</f>
        <v/>
      </c>
      <c r="L826" s="61"/>
      <c r="M826" s="74"/>
      <c r="T826" s="26"/>
      <c r="U826" s="26"/>
    </row>
    <row r="827" spans="2:21" x14ac:dyDescent="0.3">
      <c r="B827" s="53"/>
      <c r="C827" s="65"/>
      <c r="D827" s="61"/>
      <c r="E827" s="56"/>
      <c r="F827" s="53"/>
      <c r="G827" s="53" t="str">
        <f>IF(ISBLANK(Acciones!$H827)=TRUE," ",WEEKNUM(Acciones!$H827,21))</f>
        <v xml:space="preserve"> </v>
      </c>
      <c r="H827" s="53"/>
      <c r="I827" s="66"/>
      <c r="J827" s="53"/>
      <c r="K827" s="48" t="str">
        <f ca="1">IF(AND(ISBLANK(Acciones!$D827)=FALSE,ISBLANK(Acciones!$H827)=TRUE),"Faltan fechas",IF(Acciones!$H827="","",IF(AND(Acciones!$H827&gt;=TODAY(),ISBLANK(Acciones!$J827)=TRUE),"En tiempo",IF(AND(Acciones!$H827&lt;TODAY(),Acciones!$J827=""),"Retrasado",IF(Acciones!$J827&gt;Acciones!$H827,"Cerrado con retraso","Cerrado")))))</f>
        <v/>
      </c>
      <c r="L827" s="61"/>
      <c r="M827" s="74"/>
      <c r="T827" s="26"/>
      <c r="U827" s="26"/>
    </row>
    <row r="828" spans="2:21" x14ac:dyDescent="0.3">
      <c r="B828" s="53"/>
      <c r="C828" s="65"/>
      <c r="D828" s="61"/>
      <c r="E828" s="56"/>
      <c r="F828" s="53"/>
      <c r="G828" s="53" t="str">
        <f>IF(ISBLANK(Acciones!$H828)=TRUE," ",WEEKNUM(Acciones!$H828,21))</f>
        <v xml:space="preserve"> </v>
      </c>
      <c r="H828" s="53"/>
      <c r="I828" s="66"/>
      <c r="J828" s="53"/>
      <c r="K828" s="48" t="str">
        <f ca="1">IF(AND(ISBLANK(Acciones!$D828)=FALSE,ISBLANK(Acciones!$H828)=TRUE),"Faltan fechas",IF(Acciones!$H828="","",IF(AND(Acciones!$H828&gt;=TODAY(),ISBLANK(Acciones!$J828)=TRUE),"En tiempo",IF(AND(Acciones!$H828&lt;TODAY(),Acciones!$J828=""),"Retrasado",IF(Acciones!$J828&gt;Acciones!$H828,"Cerrado con retraso","Cerrado")))))</f>
        <v/>
      </c>
      <c r="L828" s="61"/>
      <c r="M828" s="74"/>
      <c r="T828" s="26"/>
      <c r="U828" s="26"/>
    </row>
    <row r="829" spans="2:21" x14ac:dyDescent="0.3">
      <c r="B829" s="53"/>
      <c r="C829" s="65"/>
      <c r="D829" s="61"/>
      <c r="E829" s="56"/>
      <c r="F829" s="53"/>
      <c r="G829" s="53" t="str">
        <f>IF(ISBLANK(Acciones!$H829)=TRUE," ",WEEKNUM(Acciones!$H829,21))</f>
        <v xml:space="preserve"> </v>
      </c>
      <c r="H829" s="53"/>
      <c r="I829" s="66"/>
      <c r="J829" s="53"/>
      <c r="K829" s="48" t="str">
        <f ca="1">IF(AND(ISBLANK(Acciones!$D829)=FALSE,ISBLANK(Acciones!$H829)=TRUE),"Faltan fechas",IF(Acciones!$H829="","",IF(AND(Acciones!$H829&gt;=TODAY(),ISBLANK(Acciones!$J829)=TRUE),"En tiempo",IF(AND(Acciones!$H829&lt;TODAY(),Acciones!$J829=""),"Retrasado",IF(Acciones!$J829&gt;Acciones!$H829,"Cerrado con retraso","Cerrado")))))</f>
        <v/>
      </c>
      <c r="L829" s="61"/>
      <c r="M829" s="74"/>
      <c r="T829" s="26"/>
      <c r="U829" s="26"/>
    </row>
    <row r="830" spans="2:21" x14ac:dyDescent="0.3">
      <c r="B830" s="53"/>
      <c r="C830" s="65"/>
      <c r="D830" s="61"/>
      <c r="E830" s="56"/>
      <c r="F830" s="53"/>
      <c r="G830" s="53" t="str">
        <f>IF(ISBLANK(Acciones!$H830)=TRUE," ",WEEKNUM(Acciones!$H830,21))</f>
        <v xml:space="preserve"> </v>
      </c>
      <c r="H830" s="53"/>
      <c r="I830" s="66"/>
      <c r="J830" s="53"/>
      <c r="K830" s="48" t="str">
        <f ca="1">IF(AND(ISBLANK(Acciones!$D830)=FALSE,ISBLANK(Acciones!$H830)=TRUE),"Faltan fechas",IF(Acciones!$H830="","",IF(AND(Acciones!$H830&gt;=TODAY(),ISBLANK(Acciones!$J830)=TRUE),"En tiempo",IF(AND(Acciones!$H830&lt;TODAY(),Acciones!$J830=""),"Retrasado",IF(Acciones!$J830&gt;Acciones!$H830,"Cerrado con retraso","Cerrado")))))</f>
        <v/>
      </c>
      <c r="L830" s="61"/>
      <c r="M830" s="74"/>
      <c r="T830" s="26"/>
      <c r="U830" s="26"/>
    </row>
    <row r="831" spans="2:21" x14ac:dyDescent="0.3">
      <c r="B831" s="53"/>
      <c r="C831" s="65"/>
      <c r="D831" s="61"/>
      <c r="E831" s="56"/>
      <c r="F831" s="53"/>
      <c r="G831" s="53" t="str">
        <f>IF(ISBLANK(Acciones!$H831)=TRUE," ",WEEKNUM(Acciones!$H831,21))</f>
        <v xml:space="preserve"> </v>
      </c>
      <c r="H831" s="53"/>
      <c r="I831" s="66"/>
      <c r="J831" s="53"/>
      <c r="K831" s="48" t="str">
        <f ca="1">IF(AND(ISBLANK(Acciones!$D831)=FALSE,ISBLANK(Acciones!$H831)=TRUE),"Faltan fechas",IF(Acciones!$H831="","",IF(AND(Acciones!$H831&gt;=TODAY(),ISBLANK(Acciones!$J831)=TRUE),"En tiempo",IF(AND(Acciones!$H831&lt;TODAY(),Acciones!$J831=""),"Retrasado",IF(Acciones!$J831&gt;Acciones!$H831,"Cerrado con retraso","Cerrado")))))</f>
        <v/>
      </c>
      <c r="L831" s="61"/>
      <c r="M831" s="74"/>
      <c r="T831" s="26"/>
      <c r="U831" s="26"/>
    </row>
    <row r="832" spans="2:21" x14ac:dyDescent="0.3">
      <c r="B832" s="53"/>
      <c r="C832" s="65"/>
      <c r="D832" s="61"/>
      <c r="E832" s="56"/>
      <c r="F832" s="53"/>
      <c r="G832" s="53" t="str">
        <f>IF(ISBLANK(Acciones!$H832)=TRUE," ",WEEKNUM(Acciones!$H832,21))</f>
        <v xml:space="preserve"> </v>
      </c>
      <c r="H832" s="53"/>
      <c r="I832" s="66"/>
      <c r="J832" s="53"/>
      <c r="K832" s="48" t="str">
        <f ca="1">IF(AND(ISBLANK(Acciones!$D832)=FALSE,ISBLANK(Acciones!$H832)=TRUE),"Faltan fechas",IF(Acciones!$H832="","",IF(AND(Acciones!$H832&gt;=TODAY(),ISBLANK(Acciones!$J832)=TRUE),"En tiempo",IF(AND(Acciones!$H832&lt;TODAY(),Acciones!$J832=""),"Retrasado",IF(Acciones!$J832&gt;Acciones!$H832,"Cerrado con retraso","Cerrado")))))</f>
        <v/>
      </c>
      <c r="L832" s="61"/>
      <c r="M832" s="74"/>
      <c r="T832" s="26"/>
      <c r="U832" s="26"/>
    </row>
    <row r="833" spans="2:21" x14ac:dyDescent="0.3">
      <c r="B833" s="53"/>
      <c r="C833" s="65"/>
      <c r="D833" s="61"/>
      <c r="E833" s="56"/>
      <c r="F833" s="53"/>
      <c r="G833" s="53" t="str">
        <f>IF(ISBLANK(Acciones!$H833)=TRUE," ",WEEKNUM(Acciones!$H833,21))</f>
        <v xml:space="preserve"> </v>
      </c>
      <c r="H833" s="53"/>
      <c r="I833" s="66"/>
      <c r="J833" s="53"/>
      <c r="K833" s="48" t="str">
        <f ca="1">IF(AND(ISBLANK(Acciones!$D833)=FALSE,ISBLANK(Acciones!$H833)=TRUE),"Faltan fechas",IF(Acciones!$H833="","",IF(AND(Acciones!$H833&gt;=TODAY(),ISBLANK(Acciones!$J833)=TRUE),"En tiempo",IF(AND(Acciones!$H833&lt;TODAY(),Acciones!$J833=""),"Retrasado",IF(Acciones!$J833&gt;Acciones!$H833,"Cerrado con retraso","Cerrado")))))</f>
        <v/>
      </c>
      <c r="L833" s="61"/>
      <c r="M833" s="74"/>
      <c r="T833" s="26"/>
      <c r="U833" s="26"/>
    </row>
    <row r="834" spans="2:21" x14ac:dyDescent="0.3">
      <c r="B834" s="53"/>
      <c r="C834" s="65"/>
      <c r="D834" s="61"/>
      <c r="E834" s="56"/>
      <c r="F834" s="53"/>
      <c r="G834" s="53" t="str">
        <f>IF(ISBLANK(Acciones!$H834)=TRUE," ",WEEKNUM(Acciones!$H834,21))</f>
        <v xml:space="preserve"> </v>
      </c>
      <c r="H834" s="53"/>
      <c r="I834" s="66"/>
      <c r="J834" s="53"/>
      <c r="K834" s="48" t="str">
        <f ca="1">IF(AND(ISBLANK(Acciones!$D834)=FALSE,ISBLANK(Acciones!$H834)=TRUE),"Faltan fechas",IF(Acciones!$H834="","",IF(AND(Acciones!$H834&gt;=TODAY(),ISBLANK(Acciones!$J834)=TRUE),"En tiempo",IF(AND(Acciones!$H834&lt;TODAY(),Acciones!$J834=""),"Retrasado",IF(Acciones!$J834&gt;Acciones!$H834,"Cerrado con retraso","Cerrado")))))</f>
        <v/>
      </c>
      <c r="L834" s="61"/>
      <c r="M834" s="74"/>
      <c r="T834" s="26"/>
      <c r="U834" s="26"/>
    </row>
    <row r="835" spans="2:21" x14ac:dyDescent="0.3">
      <c r="B835" s="53"/>
      <c r="C835" s="65"/>
      <c r="D835" s="61"/>
      <c r="E835" s="56"/>
      <c r="F835" s="53"/>
      <c r="G835" s="53" t="str">
        <f>IF(ISBLANK(Acciones!$H835)=TRUE," ",WEEKNUM(Acciones!$H835,21))</f>
        <v xml:space="preserve"> </v>
      </c>
      <c r="H835" s="53"/>
      <c r="I835" s="66"/>
      <c r="J835" s="53"/>
      <c r="K835" s="48" t="str">
        <f ca="1">IF(AND(ISBLANK(Acciones!$D835)=FALSE,ISBLANK(Acciones!$H835)=TRUE),"Faltan fechas",IF(Acciones!$H835="","",IF(AND(Acciones!$H835&gt;=TODAY(),ISBLANK(Acciones!$J835)=TRUE),"En tiempo",IF(AND(Acciones!$H835&lt;TODAY(),Acciones!$J835=""),"Retrasado",IF(Acciones!$J835&gt;Acciones!$H835,"Cerrado con retraso","Cerrado")))))</f>
        <v/>
      </c>
      <c r="L835" s="61"/>
      <c r="M835" s="74"/>
      <c r="T835" s="26"/>
      <c r="U835" s="26"/>
    </row>
    <row r="836" spans="2:21" x14ac:dyDescent="0.3">
      <c r="B836" s="53"/>
      <c r="C836" s="65"/>
      <c r="D836" s="61"/>
      <c r="E836" s="56"/>
      <c r="F836" s="53"/>
      <c r="G836" s="53" t="str">
        <f>IF(ISBLANK(Acciones!$H836)=TRUE," ",WEEKNUM(Acciones!$H836,21))</f>
        <v xml:space="preserve"> </v>
      </c>
      <c r="H836" s="53"/>
      <c r="I836" s="66"/>
      <c r="J836" s="53"/>
      <c r="K836" s="48" t="str">
        <f ca="1">IF(AND(ISBLANK(Acciones!$D836)=FALSE,ISBLANK(Acciones!$H836)=TRUE),"Faltan fechas",IF(Acciones!$H836="","",IF(AND(Acciones!$H836&gt;=TODAY(),ISBLANK(Acciones!$J836)=TRUE),"En tiempo",IF(AND(Acciones!$H836&lt;TODAY(),Acciones!$J836=""),"Retrasado",IF(Acciones!$J836&gt;Acciones!$H836,"Cerrado con retraso","Cerrado")))))</f>
        <v/>
      </c>
      <c r="L836" s="61"/>
      <c r="M836" s="74"/>
      <c r="T836" s="26"/>
      <c r="U836" s="26"/>
    </row>
    <row r="837" spans="2:21" x14ac:dyDescent="0.3">
      <c r="B837" s="53"/>
      <c r="C837" s="65"/>
      <c r="D837" s="61"/>
      <c r="E837" s="56"/>
      <c r="F837" s="53"/>
      <c r="G837" s="53" t="str">
        <f>IF(ISBLANK(Acciones!$H837)=TRUE," ",WEEKNUM(Acciones!$H837,21))</f>
        <v xml:space="preserve"> </v>
      </c>
      <c r="H837" s="53"/>
      <c r="I837" s="66"/>
      <c r="J837" s="53"/>
      <c r="K837" s="48" t="str">
        <f ca="1">IF(AND(ISBLANK(Acciones!$D837)=FALSE,ISBLANK(Acciones!$H837)=TRUE),"Faltan fechas",IF(Acciones!$H837="","",IF(AND(Acciones!$H837&gt;=TODAY(),ISBLANK(Acciones!$J837)=TRUE),"En tiempo",IF(AND(Acciones!$H837&lt;TODAY(),Acciones!$J837=""),"Retrasado",IF(Acciones!$J837&gt;Acciones!$H837,"Cerrado con retraso","Cerrado")))))</f>
        <v/>
      </c>
      <c r="L837" s="61"/>
      <c r="M837" s="74"/>
      <c r="T837" s="26"/>
      <c r="U837" s="26"/>
    </row>
    <row r="838" spans="2:21" x14ac:dyDescent="0.3">
      <c r="B838" s="53"/>
      <c r="C838" s="65"/>
      <c r="D838" s="61"/>
      <c r="E838" s="56"/>
      <c r="F838" s="53"/>
      <c r="G838" s="53" t="str">
        <f>IF(ISBLANK(Acciones!$H838)=TRUE," ",WEEKNUM(Acciones!$H838,21))</f>
        <v xml:space="preserve"> </v>
      </c>
      <c r="H838" s="53"/>
      <c r="I838" s="66"/>
      <c r="J838" s="53"/>
      <c r="K838" s="48" t="str">
        <f ca="1">IF(AND(ISBLANK(Acciones!$D838)=FALSE,ISBLANK(Acciones!$H838)=TRUE),"Faltan fechas",IF(Acciones!$H838="","",IF(AND(Acciones!$H838&gt;=TODAY(),ISBLANK(Acciones!$J838)=TRUE),"En tiempo",IF(AND(Acciones!$H838&lt;TODAY(),Acciones!$J838=""),"Retrasado",IF(Acciones!$J838&gt;Acciones!$H838,"Cerrado con retraso","Cerrado")))))</f>
        <v/>
      </c>
      <c r="L838" s="61"/>
      <c r="M838" s="74"/>
      <c r="T838" s="26"/>
      <c r="U838" s="26"/>
    </row>
    <row r="839" spans="2:21" x14ac:dyDescent="0.3">
      <c r="B839" s="53"/>
      <c r="C839" s="65"/>
      <c r="D839" s="61"/>
      <c r="E839" s="56"/>
      <c r="F839" s="53"/>
      <c r="G839" s="53" t="str">
        <f>IF(ISBLANK(Acciones!$H839)=TRUE," ",WEEKNUM(Acciones!$H839,21))</f>
        <v xml:space="preserve"> </v>
      </c>
      <c r="H839" s="53"/>
      <c r="I839" s="66"/>
      <c r="J839" s="53"/>
      <c r="K839" s="48" t="str">
        <f ca="1">IF(AND(ISBLANK(Acciones!$D839)=FALSE,ISBLANK(Acciones!$H839)=TRUE),"Faltan fechas",IF(Acciones!$H839="","",IF(AND(Acciones!$H839&gt;=TODAY(),ISBLANK(Acciones!$J839)=TRUE),"En tiempo",IF(AND(Acciones!$H839&lt;TODAY(),Acciones!$J839=""),"Retrasado",IF(Acciones!$J839&gt;Acciones!$H839,"Cerrado con retraso","Cerrado")))))</f>
        <v/>
      </c>
      <c r="L839" s="61"/>
      <c r="M839" s="74"/>
      <c r="T839" s="26"/>
      <c r="U839" s="26"/>
    </row>
    <row r="840" spans="2:21" x14ac:dyDescent="0.3">
      <c r="B840" s="53"/>
      <c r="C840" s="65"/>
      <c r="D840" s="61"/>
      <c r="E840" s="56"/>
      <c r="F840" s="53"/>
      <c r="G840" s="53" t="str">
        <f>IF(ISBLANK(Acciones!$H840)=TRUE," ",WEEKNUM(Acciones!$H840,21))</f>
        <v xml:space="preserve"> </v>
      </c>
      <c r="H840" s="53"/>
      <c r="I840" s="66"/>
      <c r="J840" s="53"/>
      <c r="K840" s="48" t="str">
        <f ca="1">IF(AND(ISBLANK(Acciones!$D840)=FALSE,ISBLANK(Acciones!$H840)=TRUE),"Faltan fechas",IF(Acciones!$H840="","",IF(AND(Acciones!$H840&gt;=TODAY(),ISBLANK(Acciones!$J840)=TRUE),"En tiempo",IF(AND(Acciones!$H840&lt;TODAY(),Acciones!$J840=""),"Retrasado",IF(Acciones!$J840&gt;Acciones!$H840,"Cerrado con retraso","Cerrado")))))</f>
        <v/>
      </c>
      <c r="L840" s="61"/>
      <c r="M840" s="74"/>
      <c r="T840" s="26"/>
      <c r="U840" s="26"/>
    </row>
    <row r="841" spans="2:21" x14ac:dyDescent="0.3">
      <c r="B841" s="53"/>
      <c r="C841" s="65"/>
      <c r="D841" s="61"/>
      <c r="E841" s="56"/>
      <c r="F841" s="53"/>
      <c r="G841" s="53" t="str">
        <f>IF(ISBLANK(Acciones!$H841)=TRUE," ",WEEKNUM(Acciones!$H841,21))</f>
        <v xml:space="preserve"> </v>
      </c>
      <c r="H841" s="53"/>
      <c r="I841" s="66"/>
      <c r="J841" s="53"/>
      <c r="K841" s="48" t="str">
        <f ca="1">IF(AND(ISBLANK(Acciones!$D841)=FALSE,ISBLANK(Acciones!$H841)=TRUE),"Faltan fechas",IF(Acciones!$H841="","",IF(AND(Acciones!$H841&gt;=TODAY(),ISBLANK(Acciones!$J841)=TRUE),"En tiempo",IF(AND(Acciones!$H841&lt;TODAY(),Acciones!$J841=""),"Retrasado",IF(Acciones!$J841&gt;Acciones!$H841,"Cerrado con retraso","Cerrado")))))</f>
        <v/>
      </c>
      <c r="L841" s="61"/>
      <c r="M841" s="74"/>
      <c r="T841" s="26"/>
      <c r="U841" s="26"/>
    </row>
    <row r="842" spans="2:21" x14ac:dyDescent="0.3">
      <c r="B842" s="53"/>
      <c r="C842" s="65"/>
      <c r="D842" s="61"/>
      <c r="E842" s="56"/>
      <c r="F842" s="53"/>
      <c r="G842" s="53" t="str">
        <f>IF(ISBLANK(Acciones!$H842)=TRUE," ",WEEKNUM(Acciones!$H842,21))</f>
        <v xml:space="preserve"> </v>
      </c>
      <c r="H842" s="53"/>
      <c r="I842" s="66"/>
      <c r="J842" s="53"/>
      <c r="K842" s="48" t="str">
        <f ca="1">IF(AND(ISBLANK(Acciones!$D842)=FALSE,ISBLANK(Acciones!$H842)=TRUE),"Faltan fechas",IF(Acciones!$H842="","",IF(AND(Acciones!$H842&gt;=TODAY(),ISBLANK(Acciones!$J842)=TRUE),"En tiempo",IF(AND(Acciones!$H842&lt;TODAY(),Acciones!$J842=""),"Retrasado",IF(Acciones!$J842&gt;Acciones!$H842,"Cerrado con retraso","Cerrado")))))</f>
        <v/>
      </c>
      <c r="L842" s="61"/>
      <c r="M842" s="74"/>
      <c r="T842" s="26"/>
      <c r="U842" s="26"/>
    </row>
    <row r="843" spans="2:21" x14ac:dyDescent="0.3">
      <c r="B843" s="53"/>
      <c r="C843" s="65"/>
      <c r="D843" s="61"/>
      <c r="E843" s="56"/>
      <c r="F843" s="53"/>
      <c r="G843" s="53" t="str">
        <f>IF(ISBLANK(Acciones!$H843)=TRUE," ",WEEKNUM(Acciones!$H843,21))</f>
        <v xml:space="preserve"> </v>
      </c>
      <c r="H843" s="53"/>
      <c r="I843" s="66"/>
      <c r="J843" s="53"/>
      <c r="K843" s="48" t="str">
        <f ca="1">IF(AND(ISBLANK(Acciones!$D843)=FALSE,ISBLANK(Acciones!$H843)=TRUE),"Faltan fechas",IF(Acciones!$H843="","",IF(AND(Acciones!$H843&gt;=TODAY(),ISBLANK(Acciones!$J843)=TRUE),"En tiempo",IF(AND(Acciones!$H843&lt;TODAY(),Acciones!$J843=""),"Retrasado",IF(Acciones!$J843&gt;Acciones!$H843,"Cerrado con retraso","Cerrado")))))</f>
        <v/>
      </c>
      <c r="L843" s="61"/>
      <c r="M843" s="74"/>
      <c r="T843" s="26"/>
      <c r="U843" s="26"/>
    </row>
    <row r="844" spans="2:21" x14ac:dyDescent="0.3">
      <c r="B844" s="53"/>
      <c r="C844" s="65"/>
      <c r="D844" s="61"/>
      <c r="E844" s="56"/>
      <c r="F844" s="53"/>
      <c r="G844" s="53" t="str">
        <f>IF(ISBLANK(Acciones!$H844)=TRUE," ",WEEKNUM(Acciones!$H844,21))</f>
        <v xml:space="preserve"> </v>
      </c>
      <c r="H844" s="53"/>
      <c r="I844" s="66"/>
      <c r="J844" s="53"/>
      <c r="K844" s="48" t="str">
        <f ca="1">IF(AND(ISBLANK(Acciones!$D844)=FALSE,ISBLANK(Acciones!$H844)=TRUE),"Faltan fechas",IF(Acciones!$H844="","",IF(AND(Acciones!$H844&gt;=TODAY(),ISBLANK(Acciones!$J844)=TRUE),"En tiempo",IF(AND(Acciones!$H844&lt;TODAY(),Acciones!$J844=""),"Retrasado",IF(Acciones!$J844&gt;Acciones!$H844,"Cerrado con retraso","Cerrado")))))</f>
        <v/>
      </c>
      <c r="L844" s="61"/>
      <c r="M844" s="74"/>
      <c r="T844" s="26"/>
      <c r="U844" s="26"/>
    </row>
    <row r="845" spans="2:21" x14ac:dyDescent="0.3">
      <c r="B845" s="53"/>
      <c r="C845" s="65"/>
      <c r="D845" s="61"/>
      <c r="E845" s="56"/>
      <c r="F845" s="53"/>
      <c r="G845" s="53" t="str">
        <f>IF(ISBLANK(Acciones!$H845)=TRUE," ",WEEKNUM(Acciones!$H845,21))</f>
        <v xml:space="preserve"> </v>
      </c>
      <c r="H845" s="53"/>
      <c r="I845" s="66"/>
      <c r="J845" s="53"/>
      <c r="K845" s="48" t="str">
        <f ca="1">IF(AND(ISBLANK(Acciones!$D845)=FALSE,ISBLANK(Acciones!$H845)=TRUE),"Faltan fechas",IF(Acciones!$H845="","",IF(AND(Acciones!$H845&gt;=TODAY(),ISBLANK(Acciones!$J845)=TRUE),"En tiempo",IF(AND(Acciones!$H845&lt;TODAY(),Acciones!$J845=""),"Retrasado",IF(Acciones!$J845&gt;Acciones!$H845,"Cerrado con retraso","Cerrado")))))</f>
        <v/>
      </c>
      <c r="L845" s="61"/>
      <c r="M845" s="74"/>
      <c r="T845" s="26"/>
      <c r="U845" s="26"/>
    </row>
    <row r="846" spans="2:21" x14ac:dyDescent="0.3">
      <c r="B846" s="53"/>
      <c r="C846" s="65"/>
      <c r="D846" s="61"/>
      <c r="E846" s="56"/>
      <c r="F846" s="53"/>
      <c r="G846" s="53" t="str">
        <f>IF(ISBLANK(Acciones!$H846)=TRUE," ",WEEKNUM(Acciones!$H846,21))</f>
        <v xml:space="preserve"> </v>
      </c>
      <c r="H846" s="53"/>
      <c r="I846" s="66"/>
      <c r="J846" s="53"/>
      <c r="K846" s="48" t="str">
        <f ca="1">IF(AND(ISBLANK(Acciones!$D846)=FALSE,ISBLANK(Acciones!$H846)=TRUE),"Faltan fechas",IF(Acciones!$H846="","",IF(AND(Acciones!$H846&gt;=TODAY(),ISBLANK(Acciones!$J846)=TRUE),"En tiempo",IF(AND(Acciones!$H846&lt;TODAY(),Acciones!$J846=""),"Retrasado",IF(Acciones!$J846&gt;Acciones!$H846,"Cerrado con retraso","Cerrado")))))</f>
        <v/>
      </c>
      <c r="L846" s="61"/>
      <c r="M846" s="74"/>
      <c r="T846" s="26"/>
      <c r="U846" s="26"/>
    </row>
    <row r="847" spans="2:21" x14ac:dyDescent="0.3">
      <c r="B847" s="53"/>
      <c r="C847" s="65"/>
      <c r="D847" s="61"/>
      <c r="E847" s="56"/>
      <c r="F847" s="53"/>
      <c r="G847" s="53" t="str">
        <f>IF(ISBLANK(Acciones!$H847)=TRUE," ",WEEKNUM(Acciones!$H847,21))</f>
        <v xml:space="preserve"> </v>
      </c>
      <c r="H847" s="53"/>
      <c r="I847" s="66"/>
      <c r="J847" s="53"/>
      <c r="K847" s="48" t="str">
        <f ca="1">IF(AND(ISBLANK(Acciones!$D847)=FALSE,ISBLANK(Acciones!$H847)=TRUE),"Faltan fechas",IF(Acciones!$H847="","",IF(AND(Acciones!$H847&gt;=TODAY(),ISBLANK(Acciones!$J847)=TRUE),"En tiempo",IF(AND(Acciones!$H847&lt;TODAY(),Acciones!$J847=""),"Retrasado",IF(Acciones!$J847&gt;Acciones!$H847,"Cerrado con retraso","Cerrado")))))</f>
        <v/>
      </c>
      <c r="L847" s="61"/>
      <c r="M847" s="74"/>
      <c r="T847" s="26"/>
      <c r="U847" s="26"/>
    </row>
    <row r="848" spans="2:21" x14ac:dyDescent="0.3">
      <c r="B848" s="53"/>
      <c r="C848" s="65"/>
      <c r="D848" s="61"/>
      <c r="E848" s="56"/>
      <c r="F848" s="53"/>
      <c r="G848" s="53" t="str">
        <f>IF(ISBLANK(Acciones!$H848)=TRUE," ",WEEKNUM(Acciones!$H848,21))</f>
        <v xml:space="preserve"> </v>
      </c>
      <c r="H848" s="53"/>
      <c r="I848" s="66"/>
      <c r="J848" s="53"/>
      <c r="K848" s="48" t="str">
        <f ca="1">IF(AND(ISBLANK(Acciones!$D848)=FALSE,ISBLANK(Acciones!$H848)=TRUE),"Faltan fechas",IF(Acciones!$H848="","",IF(AND(Acciones!$H848&gt;=TODAY(),ISBLANK(Acciones!$J848)=TRUE),"En tiempo",IF(AND(Acciones!$H848&lt;TODAY(),Acciones!$J848=""),"Retrasado",IF(Acciones!$J848&gt;Acciones!$H848,"Cerrado con retraso","Cerrado")))))</f>
        <v/>
      </c>
      <c r="L848" s="61"/>
      <c r="M848" s="74"/>
      <c r="T848" s="26"/>
      <c r="U848" s="26"/>
    </row>
    <row r="849" spans="2:21" x14ac:dyDescent="0.3">
      <c r="B849" s="53"/>
      <c r="C849" s="65"/>
      <c r="D849" s="61"/>
      <c r="E849" s="56"/>
      <c r="F849" s="53"/>
      <c r="G849" s="53" t="str">
        <f>IF(ISBLANK(Acciones!$H849)=TRUE," ",WEEKNUM(Acciones!$H849,21))</f>
        <v xml:space="preserve"> </v>
      </c>
      <c r="H849" s="53"/>
      <c r="I849" s="66"/>
      <c r="J849" s="53"/>
      <c r="K849" s="48" t="str">
        <f ca="1">IF(AND(ISBLANK(Acciones!$D849)=FALSE,ISBLANK(Acciones!$H849)=TRUE),"Faltan fechas",IF(Acciones!$H849="","",IF(AND(Acciones!$H849&gt;=TODAY(),ISBLANK(Acciones!$J849)=TRUE),"En tiempo",IF(AND(Acciones!$H849&lt;TODAY(),Acciones!$J849=""),"Retrasado",IF(Acciones!$J849&gt;Acciones!$H849,"Cerrado con retraso","Cerrado")))))</f>
        <v/>
      </c>
      <c r="L849" s="61"/>
      <c r="M849" s="74"/>
      <c r="T849" s="26"/>
      <c r="U849" s="26"/>
    </row>
    <row r="850" spans="2:21" x14ac:dyDescent="0.3">
      <c r="B850" s="53"/>
      <c r="C850" s="65"/>
      <c r="D850" s="61"/>
      <c r="E850" s="56"/>
      <c r="F850" s="53"/>
      <c r="G850" s="53" t="str">
        <f>IF(ISBLANK(Acciones!$H850)=TRUE," ",WEEKNUM(Acciones!$H850,21))</f>
        <v xml:space="preserve"> </v>
      </c>
      <c r="H850" s="53"/>
      <c r="I850" s="66"/>
      <c r="J850" s="53"/>
      <c r="K850" s="48" t="str">
        <f ca="1">IF(AND(ISBLANK(Acciones!$D850)=FALSE,ISBLANK(Acciones!$H850)=TRUE),"Faltan fechas",IF(Acciones!$H850="","",IF(AND(Acciones!$H850&gt;=TODAY(),ISBLANK(Acciones!$J850)=TRUE),"En tiempo",IF(AND(Acciones!$H850&lt;TODAY(),Acciones!$J850=""),"Retrasado",IF(Acciones!$J850&gt;Acciones!$H850,"Cerrado con retraso","Cerrado")))))</f>
        <v/>
      </c>
      <c r="L850" s="61"/>
      <c r="M850" s="74"/>
      <c r="T850" s="26"/>
      <c r="U850" s="26"/>
    </row>
    <row r="851" spans="2:21" x14ac:dyDescent="0.3">
      <c r="B851" s="53"/>
      <c r="C851" s="65"/>
      <c r="D851" s="61"/>
      <c r="E851" s="56"/>
      <c r="F851" s="53"/>
      <c r="G851" s="53" t="str">
        <f>IF(ISBLANK(Acciones!$H851)=TRUE," ",WEEKNUM(Acciones!$H851,21))</f>
        <v xml:space="preserve"> </v>
      </c>
      <c r="H851" s="53"/>
      <c r="I851" s="66"/>
      <c r="J851" s="53"/>
      <c r="K851" s="48" t="str">
        <f ca="1">IF(AND(ISBLANK(Acciones!$D851)=FALSE,ISBLANK(Acciones!$H851)=TRUE),"Faltan fechas",IF(Acciones!$H851="","",IF(AND(Acciones!$H851&gt;=TODAY(),ISBLANK(Acciones!$J851)=TRUE),"En tiempo",IF(AND(Acciones!$H851&lt;TODAY(),Acciones!$J851=""),"Retrasado",IF(Acciones!$J851&gt;Acciones!$H851,"Cerrado con retraso","Cerrado")))))</f>
        <v/>
      </c>
      <c r="L851" s="61"/>
      <c r="M851" s="74"/>
      <c r="T851" s="26"/>
      <c r="U851" s="26"/>
    </row>
    <row r="852" spans="2:21" x14ac:dyDescent="0.3">
      <c r="B852" s="53"/>
      <c r="C852" s="65"/>
      <c r="D852" s="61"/>
      <c r="E852" s="56"/>
      <c r="F852" s="53"/>
      <c r="G852" s="53" t="str">
        <f>IF(ISBLANK(Acciones!$H852)=TRUE," ",WEEKNUM(Acciones!$H852,21))</f>
        <v xml:space="preserve"> </v>
      </c>
      <c r="H852" s="53"/>
      <c r="I852" s="66"/>
      <c r="J852" s="53"/>
      <c r="K852" s="48" t="str">
        <f ca="1">IF(AND(ISBLANK(Acciones!$D852)=FALSE,ISBLANK(Acciones!$H852)=TRUE),"Faltan fechas",IF(Acciones!$H852="","",IF(AND(Acciones!$H852&gt;=TODAY(),ISBLANK(Acciones!$J852)=TRUE),"En tiempo",IF(AND(Acciones!$H852&lt;TODAY(),Acciones!$J852=""),"Retrasado",IF(Acciones!$J852&gt;Acciones!$H852,"Cerrado con retraso","Cerrado")))))</f>
        <v/>
      </c>
      <c r="L852" s="61"/>
      <c r="M852" s="74"/>
      <c r="T852" s="26"/>
      <c r="U852" s="26"/>
    </row>
    <row r="853" spans="2:21" x14ac:dyDescent="0.3">
      <c r="B853" s="53"/>
      <c r="C853" s="65"/>
      <c r="D853" s="61"/>
      <c r="E853" s="56"/>
      <c r="F853" s="53"/>
      <c r="G853" s="53" t="str">
        <f>IF(ISBLANK(Acciones!$H853)=TRUE," ",WEEKNUM(Acciones!$H853,21))</f>
        <v xml:space="preserve"> </v>
      </c>
      <c r="H853" s="53"/>
      <c r="I853" s="66"/>
      <c r="J853" s="53"/>
      <c r="K853" s="48" t="str">
        <f ca="1">IF(AND(ISBLANK(Acciones!$D853)=FALSE,ISBLANK(Acciones!$H853)=TRUE),"Faltan fechas",IF(Acciones!$H853="","",IF(AND(Acciones!$H853&gt;=TODAY(),ISBLANK(Acciones!$J853)=TRUE),"En tiempo",IF(AND(Acciones!$H853&lt;TODAY(),Acciones!$J853=""),"Retrasado",IF(Acciones!$J853&gt;Acciones!$H853,"Cerrado con retraso","Cerrado")))))</f>
        <v/>
      </c>
      <c r="L853" s="61"/>
      <c r="M853" s="74"/>
      <c r="T853" s="26"/>
      <c r="U853" s="26"/>
    </row>
    <row r="854" spans="2:21" x14ac:dyDescent="0.3">
      <c r="B854" s="53"/>
      <c r="C854" s="65"/>
      <c r="D854" s="61"/>
      <c r="E854" s="56"/>
      <c r="F854" s="53"/>
      <c r="G854" s="53" t="str">
        <f>IF(ISBLANK(Acciones!$H854)=TRUE," ",WEEKNUM(Acciones!$H854,21))</f>
        <v xml:space="preserve"> </v>
      </c>
      <c r="H854" s="53"/>
      <c r="I854" s="66"/>
      <c r="J854" s="53"/>
      <c r="K854" s="48" t="str">
        <f ca="1">IF(AND(ISBLANK(Acciones!$D854)=FALSE,ISBLANK(Acciones!$H854)=TRUE),"Faltan fechas",IF(Acciones!$H854="","",IF(AND(Acciones!$H854&gt;=TODAY(),ISBLANK(Acciones!$J854)=TRUE),"En tiempo",IF(AND(Acciones!$H854&lt;TODAY(),Acciones!$J854=""),"Retrasado",IF(Acciones!$J854&gt;Acciones!$H854,"Cerrado con retraso","Cerrado")))))</f>
        <v/>
      </c>
      <c r="L854" s="61"/>
      <c r="M854" s="74"/>
      <c r="T854" s="26"/>
      <c r="U854" s="26"/>
    </row>
    <row r="855" spans="2:21" x14ac:dyDescent="0.3">
      <c r="B855" s="53"/>
      <c r="C855" s="65"/>
      <c r="D855" s="61"/>
      <c r="E855" s="56"/>
      <c r="F855" s="53"/>
      <c r="G855" s="53" t="str">
        <f>IF(ISBLANK(Acciones!$H855)=TRUE," ",WEEKNUM(Acciones!$H855,21))</f>
        <v xml:space="preserve"> </v>
      </c>
      <c r="H855" s="53"/>
      <c r="I855" s="66"/>
      <c r="J855" s="53"/>
      <c r="K855" s="48" t="str">
        <f ca="1">IF(AND(ISBLANK(Acciones!$D855)=FALSE,ISBLANK(Acciones!$H855)=TRUE),"Faltan fechas",IF(Acciones!$H855="","",IF(AND(Acciones!$H855&gt;=TODAY(),ISBLANK(Acciones!$J855)=TRUE),"En tiempo",IF(AND(Acciones!$H855&lt;TODAY(),Acciones!$J855=""),"Retrasado",IF(Acciones!$J855&gt;Acciones!$H855,"Cerrado con retraso","Cerrado")))))</f>
        <v/>
      </c>
      <c r="L855" s="61"/>
      <c r="M855" s="74"/>
      <c r="T855" s="26"/>
      <c r="U855" s="26"/>
    </row>
    <row r="856" spans="2:21" x14ac:dyDescent="0.3">
      <c r="B856" s="53"/>
      <c r="C856" s="65"/>
      <c r="D856" s="61"/>
      <c r="E856" s="56"/>
      <c r="F856" s="53"/>
      <c r="G856" s="53" t="str">
        <f>IF(ISBLANK(Acciones!$H856)=TRUE," ",WEEKNUM(Acciones!$H856,21))</f>
        <v xml:space="preserve"> </v>
      </c>
      <c r="H856" s="53"/>
      <c r="I856" s="66"/>
      <c r="J856" s="53"/>
      <c r="K856" s="48" t="str">
        <f ca="1">IF(AND(ISBLANK(Acciones!$D856)=FALSE,ISBLANK(Acciones!$H856)=TRUE),"Faltan fechas",IF(Acciones!$H856="","",IF(AND(Acciones!$H856&gt;=TODAY(),ISBLANK(Acciones!$J856)=TRUE),"En tiempo",IF(AND(Acciones!$H856&lt;TODAY(),Acciones!$J856=""),"Retrasado",IF(Acciones!$J856&gt;Acciones!$H856,"Cerrado con retraso","Cerrado")))))</f>
        <v/>
      </c>
      <c r="L856" s="61"/>
      <c r="M856" s="74"/>
      <c r="T856" s="26"/>
      <c r="U856" s="26"/>
    </row>
    <row r="857" spans="2:21" x14ac:dyDescent="0.3">
      <c r="B857" s="53"/>
      <c r="C857" s="65"/>
      <c r="D857" s="61"/>
      <c r="E857" s="56"/>
      <c r="F857" s="53"/>
      <c r="G857" s="53" t="str">
        <f>IF(ISBLANK(Acciones!$H857)=TRUE," ",WEEKNUM(Acciones!$H857,21))</f>
        <v xml:space="preserve"> </v>
      </c>
      <c r="H857" s="53"/>
      <c r="I857" s="66"/>
      <c r="J857" s="53"/>
      <c r="K857" s="48" t="str">
        <f ca="1">IF(AND(ISBLANK(Acciones!$D857)=FALSE,ISBLANK(Acciones!$H857)=TRUE),"Faltan fechas",IF(Acciones!$H857="","",IF(AND(Acciones!$H857&gt;=TODAY(),ISBLANK(Acciones!$J857)=TRUE),"En tiempo",IF(AND(Acciones!$H857&lt;TODAY(),Acciones!$J857=""),"Retrasado",IF(Acciones!$J857&gt;Acciones!$H857,"Cerrado con retraso","Cerrado")))))</f>
        <v/>
      </c>
      <c r="L857" s="61"/>
      <c r="M857" s="74"/>
      <c r="T857" s="26"/>
      <c r="U857" s="26"/>
    </row>
    <row r="858" spans="2:21" x14ac:dyDescent="0.3">
      <c r="B858" s="53"/>
      <c r="C858" s="65"/>
      <c r="D858" s="61"/>
      <c r="E858" s="56"/>
      <c r="F858" s="53"/>
      <c r="G858" s="53" t="str">
        <f>IF(ISBLANK(Acciones!$H858)=TRUE," ",WEEKNUM(Acciones!$H858,21))</f>
        <v xml:space="preserve"> </v>
      </c>
      <c r="H858" s="53"/>
      <c r="I858" s="66"/>
      <c r="J858" s="53"/>
      <c r="K858" s="48" t="str">
        <f ca="1">IF(AND(ISBLANK(Acciones!$D858)=FALSE,ISBLANK(Acciones!$H858)=TRUE),"Faltan fechas",IF(Acciones!$H858="","",IF(AND(Acciones!$H858&gt;=TODAY(),ISBLANK(Acciones!$J858)=TRUE),"En tiempo",IF(AND(Acciones!$H858&lt;TODAY(),Acciones!$J858=""),"Retrasado",IF(Acciones!$J858&gt;Acciones!$H858,"Cerrado con retraso","Cerrado")))))</f>
        <v/>
      </c>
      <c r="L858" s="61"/>
      <c r="M858" s="74"/>
      <c r="T858" s="26"/>
      <c r="U858" s="26"/>
    </row>
    <row r="859" spans="2:21" x14ac:dyDescent="0.3">
      <c r="B859" s="53"/>
      <c r="C859" s="65"/>
      <c r="D859" s="61"/>
      <c r="E859" s="56"/>
      <c r="F859" s="53"/>
      <c r="G859" s="53" t="str">
        <f>IF(ISBLANK(Acciones!$H859)=TRUE," ",WEEKNUM(Acciones!$H859,21))</f>
        <v xml:space="preserve"> </v>
      </c>
      <c r="H859" s="53"/>
      <c r="I859" s="66"/>
      <c r="J859" s="53"/>
      <c r="K859" s="48" t="str">
        <f ca="1">IF(AND(ISBLANK(Acciones!$D859)=FALSE,ISBLANK(Acciones!$H859)=TRUE),"Faltan fechas",IF(Acciones!$H859="","",IF(AND(Acciones!$H859&gt;=TODAY(),ISBLANK(Acciones!$J859)=TRUE),"En tiempo",IF(AND(Acciones!$H859&lt;TODAY(),Acciones!$J859=""),"Retrasado",IF(Acciones!$J859&gt;Acciones!$H859,"Cerrado con retraso","Cerrado")))))</f>
        <v/>
      </c>
      <c r="L859" s="61"/>
      <c r="M859" s="74"/>
      <c r="T859" s="26"/>
      <c r="U859" s="26"/>
    </row>
    <row r="860" spans="2:21" x14ac:dyDescent="0.3">
      <c r="B860" s="53"/>
      <c r="C860" s="65"/>
      <c r="D860" s="61"/>
      <c r="E860" s="56"/>
      <c r="F860" s="53"/>
      <c r="G860" s="53" t="str">
        <f>IF(ISBLANK(Acciones!$H860)=TRUE," ",WEEKNUM(Acciones!$H860,21))</f>
        <v xml:space="preserve"> </v>
      </c>
      <c r="H860" s="53"/>
      <c r="I860" s="66"/>
      <c r="J860" s="53"/>
      <c r="K860" s="48" t="str">
        <f ca="1">IF(AND(ISBLANK(Acciones!$D860)=FALSE,ISBLANK(Acciones!$H860)=TRUE),"Faltan fechas",IF(Acciones!$H860="","",IF(AND(Acciones!$H860&gt;=TODAY(),ISBLANK(Acciones!$J860)=TRUE),"En tiempo",IF(AND(Acciones!$H860&lt;TODAY(),Acciones!$J860=""),"Retrasado",IF(Acciones!$J860&gt;Acciones!$H860,"Cerrado con retraso","Cerrado")))))</f>
        <v/>
      </c>
      <c r="L860" s="61"/>
      <c r="M860" s="74"/>
      <c r="T860" s="26"/>
      <c r="U860" s="26"/>
    </row>
    <row r="861" spans="2:21" x14ac:dyDescent="0.3">
      <c r="B861" s="53"/>
      <c r="C861" s="65"/>
      <c r="D861" s="61"/>
      <c r="E861" s="56"/>
      <c r="F861" s="53"/>
      <c r="G861" s="53" t="str">
        <f>IF(ISBLANK(Acciones!$H861)=TRUE," ",WEEKNUM(Acciones!$H861,21))</f>
        <v xml:space="preserve"> </v>
      </c>
      <c r="H861" s="53"/>
      <c r="I861" s="66"/>
      <c r="J861" s="53"/>
      <c r="K861" s="48" t="str">
        <f ca="1">IF(AND(ISBLANK(Acciones!$D861)=FALSE,ISBLANK(Acciones!$H861)=TRUE),"Faltan fechas",IF(Acciones!$H861="","",IF(AND(Acciones!$H861&gt;=TODAY(),ISBLANK(Acciones!$J861)=TRUE),"En tiempo",IF(AND(Acciones!$H861&lt;TODAY(),Acciones!$J861=""),"Retrasado",IF(Acciones!$J861&gt;Acciones!$H861,"Cerrado con retraso","Cerrado")))))</f>
        <v/>
      </c>
      <c r="L861" s="61"/>
      <c r="M861" s="74"/>
      <c r="T861" s="26"/>
      <c r="U861" s="26"/>
    </row>
    <row r="862" spans="2:21" x14ac:dyDescent="0.3">
      <c r="B862" s="53"/>
      <c r="C862" s="65"/>
      <c r="D862" s="61"/>
      <c r="E862" s="56"/>
      <c r="F862" s="53"/>
      <c r="G862" s="53" t="str">
        <f>IF(ISBLANK(Acciones!$H862)=TRUE," ",WEEKNUM(Acciones!$H862,21))</f>
        <v xml:space="preserve"> </v>
      </c>
      <c r="H862" s="53"/>
      <c r="I862" s="66"/>
      <c r="J862" s="53"/>
      <c r="K862" s="48" t="str">
        <f ca="1">IF(AND(ISBLANK(Acciones!$D862)=FALSE,ISBLANK(Acciones!$H862)=TRUE),"Faltan fechas",IF(Acciones!$H862="","",IF(AND(Acciones!$H862&gt;=TODAY(),ISBLANK(Acciones!$J862)=TRUE),"En tiempo",IF(AND(Acciones!$H862&lt;TODAY(),Acciones!$J862=""),"Retrasado",IF(Acciones!$J862&gt;Acciones!$H862,"Cerrado con retraso","Cerrado")))))</f>
        <v/>
      </c>
      <c r="L862" s="61"/>
      <c r="M862" s="74"/>
      <c r="T862" s="26"/>
      <c r="U862" s="26"/>
    </row>
    <row r="863" spans="2:21" x14ac:dyDescent="0.3">
      <c r="B863" s="53"/>
      <c r="C863" s="65"/>
      <c r="D863" s="61"/>
      <c r="E863" s="56"/>
      <c r="F863" s="53"/>
      <c r="G863" s="53" t="str">
        <f>IF(ISBLANK(Acciones!$H863)=TRUE," ",WEEKNUM(Acciones!$H863,21))</f>
        <v xml:space="preserve"> </v>
      </c>
      <c r="H863" s="53"/>
      <c r="I863" s="66"/>
      <c r="J863" s="53"/>
      <c r="K863" s="48" t="str">
        <f ca="1">IF(AND(ISBLANK(Acciones!$D863)=FALSE,ISBLANK(Acciones!$H863)=TRUE),"Faltan fechas",IF(Acciones!$H863="","",IF(AND(Acciones!$H863&gt;=TODAY(),ISBLANK(Acciones!$J863)=TRUE),"En tiempo",IF(AND(Acciones!$H863&lt;TODAY(),Acciones!$J863=""),"Retrasado",IF(Acciones!$J863&gt;Acciones!$H863,"Cerrado con retraso","Cerrado")))))</f>
        <v/>
      </c>
      <c r="L863" s="61"/>
      <c r="M863" s="74"/>
      <c r="T863" s="26"/>
      <c r="U863" s="26"/>
    </row>
    <row r="864" spans="2:21" x14ac:dyDescent="0.3">
      <c r="B864" s="53"/>
      <c r="C864" s="65"/>
      <c r="D864" s="61"/>
      <c r="E864" s="56"/>
      <c r="F864" s="53"/>
      <c r="G864" s="53" t="str">
        <f>IF(ISBLANK(Acciones!$H864)=TRUE," ",WEEKNUM(Acciones!$H864,21))</f>
        <v xml:space="preserve"> </v>
      </c>
      <c r="H864" s="53"/>
      <c r="I864" s="66"/>
      <c r="J864" s="53"/>
      <c r="K864" s="48" t="str">
        <f ca="1">IF(AND(ISBLANK(Acciones!$D864)=FALSE,ISBLANK(Acciones!$H864)=TRUE),"Faltan fechas",IF(Acciones!$H864="","",IF(AND(Acciones!$H864&gt;=TODAY(),ISBLANK(Acciones!$J864)=TRUE),"En tiempo",IF(AND(Acciones!$H864&lt;TODAY(),Acciones!$J864=""),"Retrasado",IF(Acciones!$J864&gt;Acciones!$H864,"Cerrado con retraso","Cerrado")))))</f>
        <v/>
      </c>
      <c r="L864" s="61"/>
      <c r="M864" s="74"/>
      <c r="T864" s="26"/>
      <c r="U864" s="26"/>
    </row>
    <row r="865" spans="2:21" x14ac:dyDescent="0.3">
      <c r="B865" s="53"/>
      <c r="C865" s="65"/>
      <c r="D865" s="61"/>
      <c r="E865" s="56"/>
      <c r="F865" s="53"/>
      <c r="G865" s="53" t="str">
        <f>IF(ISBLANK(Acciones!$H865)=TRUE," ",WEEKNUM(Acciones!$H865,21))</f>
        <v xml:space="preserve"> </v>
      </c>
      <c r="H865" s="53"/>
      <c r="I865" s="66"/>
      <c r="J865" s="53"/>
      <c r="K865" s="48" t="str">
        <f ca="1">IF(AND(ISBLANK(Acciones!$D865)=FALSE,ISBLANK(Acciones!$H865)=TRUE),"Faltan fechas",IF(Acciones!$H865="","",IF(AND(Acciones!$H865&gt;=TODAY(),ISBLANK(Acciones!$J865)=TRUE),"En tiempo",IF(AND(Acciones!$H865&lt;TODAY(),Acciones!$J865=""),"Retrasado",IF(Acciones!$J865&gt;Acciones!$H865,"Cerrado con retraso","Cerrado")))))</f>
        <v/>
      </c>
      <c r="L865" s="61"/>
      <c r="M865" s="74"/>
      <c r="T865" s="26"/>
      <c r="U865" s="26"/>
    </row>
    <row r="866" spans="2:21" x14ac:dyDescent="0.3">
      <c r="B866" s="53"/>
      <c r="C866" s="65"/>
      <c r="D866" s="61"/>
      <c r="E866" s="56"/>
      <c r="F866" s="53"/>
      <c r="G866" s="53" t="str">
        <f>IF(ISBLANK(Acciones!$H866)=TRUE," ",WEEKNUM(Acciones!$H866,21))</f>
        <v xml:space="preserve"> </v>
      </c>
      <c r="H866" s="53"/>
      <c r="I866" s="66"/>
      <c r="J866" s="53"/>
      <c r="K866" s="48" t="str">
        <f ca="1">IF(AND(ISBLANK(Acciones!$D866)=FALSE,ISBLANK(Acciones!$H866)=TRUE),"Faltan fechas",IF(Acciones!$H866="","",IF(AND(Acciones!$H866&gt;=TODAY(),ISBLANK(Acciones!$J866)=TRUE),"En tiempo",IF(AND(Acciones!$H866&lt;TODAY(),Acciones!$J866=""),"Retrasado",IF(Acciones!$J866&gt;Acciones!$H866,"Cerrado con retraso","Cerrado")))))</f>
        <v/>
      </c>
      <c r="L866" s="61"/>
      <c r="M866" s="74"/>
      <c r="T866" s="26"/>
      <c r="U866" s="26"/>
    </row>
    <row r="867" spans="2:21" x14ac:dyDescent="0.3">
      <c r="B867" s="53"/>
      <c r="C867" s="65"/>
      <c r="D867" s="61"/>
      <c r="E867" s="56"/>
      <c r="F867" s="53"/>
      <c r="G867" s="53" t="str">
        <f>IF(ISBLANK(Acciones!$H867)=TRUE," ",WEEKNUM(Acciones!$H867,21))</f>
        <v xml:space="preserve"> </v>
      </c>
      <c r="H867" s="53"/>
      <c r="I867" s="66"/>
      <c r="J867" s="53"/>
      <c r="K867" s="48" t="str">
        <f ca="1">IF(AND(ISBLANK(Acciones!$D867)=FALSE,ISBLANK(Acciones!$H867)=TRUE),"Faltan fechas",IF(Acciones!$H867="","",IF(AND(Acciones!$H867&gt;=TODAY(),ISBLANK(Acciones!$J867)=TRUE),"En tiempo",IF(AND(Acciones!$H867&lt;TODAY(),Acciones!$J867=""),"Retrasado",IF(Acciones!$J867&gt;Acciones!$H867,"Cerrado con retraso","Cerrado")))))</f>
        <v/>
      </c>
      <c r="L867" s="61"/>
      <c r="M867" s="74"/>
      <c r="T867" s="26"/>
      <c r="U867" s="26"/>
    </row>
    <row r="868" spans="2:21" x14ac:dyDescent="0.3">
      <c r="B868" s="53"/>
      <c r="C868" s="65"/>
      <c r="D868" s="61"/>
      <c r="E868" s="56"/>
      <c r="F868" s="53"/>
      <c r="G868" s="53" t="str">
        <f>IF(ISBLANK(Acciones!$H868)=TRUE," ",WEEKNUM(Acciones!$H868,21))</f>
        <v xml:space="preserve"> </v>
      </c>
      <c r="H868" s="53"/>
      <c r="I868" s="66"/>
      <c r="J868" s="53"/>
      <c r="K868" s="48" t="str">
        <f ca="1">IF(AND(ISBLANK(Acciones!$D868)=FALSE,ISBLANK(Acciones!$H868)=TRUE),"Faltan fechas",IF(Acciones!$H868="","",IF(AND(Acciones!$H868&gt;=TODAY(),ISBLANK(Acciones!$J868)=TRUE),"En tiempo",IF(AND(Acciones!$H868&lt;TODAY(),Acciones!$J868=""),"Retrasado",IF(Acciones!$J868&gt;Acciones!$H868,"Cerrado con retraso","Cerrado")))))</f>
        <v/>
      </c>
      <c r="L868" s="61"/>
      <c r="M868" s="74"/>
      <c r="T868" s="26"/>
      <c r="U868" s="26"/>
    </row>
    <row r="869" spans="2:21" x14ac:dyDescent="0.3">
      <c r="B869" s="53"/>
      <c r="C869" s="65"/>
      <c r="D869" s="61"/>
      <c r="E869" s="56"/>
      <c r="F869" s="53"/>
      <c r="G869" s="53" t="str">
        <f>IF(ISBLANK(Acciones!$H869)=TRUE," ",WEEKNUM(Acciones!$H869,21))</f>
        <v xml:space="preserve"> </v>
      </c>
      <c r="H869" s="53"/>
      <c r="I869" s="66"/>
      <c r="J869" s="53"/>
      <c r="K869" s="48" t="str">
        <f ca="1">IF(AND(ISBLANK(Acciones!$D869)=FALSE,ISBLANK(Acciones!$H869)=TRUE),"Faltan fechas",IF(Acciones!$H869="","",IF(AND(Acciones!$H869&gt;=TODAY(),ISBLANK(Acciones!$J869)=TRUE),"En tiempo",IF(AND(Acciones!$H869&lt;TODAY(),Acciones!$J869=""),"Retrasado",IF(Acciones!$J869&gt;Acciones!$H869,"Cerrado con retraso","Cerrado")))))</f>
        <v/>
      </c>
      <c r="L869" s="61"/>
      <c r="M869" s="74"/>
      <c r="T869" s="26"/>
      <c r="U869" s="26"/>
    </row>
    <row r="870" spans="2:21" x14ac:dyDescent="0.3">
      <c r="B870" s="53"/>
      <c r="C870" s="65"/>
      <c r="D870" s="61"/>
      <c r="E870" s="56"/>
      <c r="F870" s="53"/>
      <c r="G870" s="53" t="str">
        <f>IF(ISBLANK(Acciones!$H870)=TRUE," ",WEEKNUM(Acciones!$H870,21))</f>
        <v xml:space="preserve"> </v>
      </c>
      <c r="H870" s="53"/>
      <c r="I870" s="66"/>
      <c r="J870" s="53"/>
      <c r="K870" s="48" t="str">
        <f ca="1">IF(AND(ISBLANK(Acciones!$D870)=FALSE,ISBLANK(Acciones!$H870)=TRUE),"Faltan fechas",IF(Acciones!$H870="","",IF(AND(Acciones!$H870&gt;=TODAY(),ISBLANK(Acciones!$J870)=TRUE),"En tiempo",IF(AND(Acciones!$H870&lt;TODAY(),Acciones!$J870=""),"Retrasado",IF(Acciones!$J870&gt;Acciones!$H870,"Cerrado con retraso","Cerrado")))))</f>
        <v/>
      </c>
      <c r="L870" s="61"/>
      <c r="M870" s="74"/>
      <c r="T870" s="26"/>
      <c r="U870" s="26"/>
    </row>
    <row r="871" spans="2:21" x14ac:dyDescent="0.3">
      <c r="B871" s="53"/>
      <c r="C871" s="65"/>
      <c r="D871" s="61"/>
      <c r="E871" s="56"/>
      <c r="F871" s="53"/>
      <c r="G871" s="53" t="str">
        <f>IF(ISBLANK(Acciones!$H871)=TRUE," ",WEEKNUM(Acciones!$H871,21))</f>
        <v xml:space="preserve"> </v>
      </c>
      <c r="H871" s="53"/>
      <c r="I871" s="66"/>
      <c r="J871" s="53"/>
      <c r="K871" s="48" t="str">
        <f ca="1">IF(AND(ISBLANK(Acciones!$D871)=FALSE,ISBLANK(Acciones!$H871)=TRUE),"Faltan fechas",IF(Acciones!$H871="","",IF(AND(Acciones!$H871&gt;=TODAY(),ISBLANK(Acciones!$J871)=TRUE),"En tiempo",IF(AND(Acciones!$H871&lt;TODAY(),Acciones!$J871=""),"Retrasado",IF(Acciones!$J871&gt;Acciones!$H871,"Cerrado con retraso","Cerrado")))))</f>
        <v/>
      </c>
      <c r="L871" s="61"/>
      <c r="M871" s="74"/>
      <c r="T871" s="26"/>
      <c r="U871" s="26"/>
    </row>
    <row r="872" spans="2:21" x14ac:dyDescent="0.3">
      <c r="B872" s="53"/>
      <c r="C872" s="65"/>
      <c r="D872" s="61"/>
      <c r="E872" s="56"/>
      <c r="F872" s="53"/>
      <c r="G872" s="53" t="str">
        <f>IF(ISBLANK(Acciones!$H872)=TRUE," ",WEEKNUM(Acciones!$H872,21))</f>
        <v xml:space="preserve"> </v>
      </c>
      <c r="H872" s="53"/>
      <c r="I872" s="66"/>
      <c r="J872" s="53"/>
      <c r="K872" s="48" t="str">
        <f ca="1">IF(AND(ISBLANK(Acciones!$D872)=FALSE,ISBLANK(Acciones!$H872)=TRUE),"Faltan fechas",IF(Acciones!$H872="","",IF(AND(Acciones!$H872&gt;=TODAY(),ISBLANK(Acciones!$J872)=TRUE),"En tiempo",IF(AND(Acciones!$H872&lt;TODAY(),Acciones!$J872=""),"Retrasado",IF(Acciones!$J872&gt;Acciones!$H872,"Cerrado con retraso","Cerrado")))))</f>
        <v/>
      </c>
      <c r="L872" s="61"/>
      <c r="M872" s="74"/>
      <c r="T872" s="26"/>
      <c r="U872" s="26"/>
    </row>
    <row r="873" spans="2:21" x14ac:dyDescent="0.3">
      <c r="B873" s="53"/>
      <c r="C873" s="65"/>
      <c r="D873" s="61"/>
      <c r="E873" s="56"/>
      <c r="F873" s="53"/>
      <c r="G873" s="53" t="str">
        <f>IF(ISBLANK(Acciones!$H873)=TRUE," ",WEEKNUM(Acciones!$H873,21))</f>
        <v xml:space="preserve"> </v>
      </c>
      <c r="H873" s="53"/>
      <c r="I873" s="66"/>
      <c r="J873" s="53"/>
      <c r="K873" s="48" t="str">
        <f ca="1">IF(AND(ISBLANK(Acciones!$D873)=FALSE,ISBLANK(Acciones!$H873)=TRUE),"Faltan fechas",IF(Acciones!$H873="","",IF(AND(Acciones!$H873&gt;=TODAY(),ISBLANK(Acciones!$J873)=TRUE),"En tiempo",IF(AND(Acciones!$H873&lt;TODAY(),Acciones!$J873=""),"Retrasado",IF(Acciones!$J873&gt;Acciones!$H873,"Cerrado con retraso","Cerrado")))))</f>
        <v/>
      </c>
      <c r="L873" s="61"/>
      <c r="M873" s="74"/>
      <c r="T873" s="26"/>
      <c r="U873" s="26"/>
    </row>
    <row r="874" spans="2:21" x14ac:dyDescent="0.3">
      <c r="B874" s="53"/>
      <c r="C874" s="65"/>
      <c r="D874" s="61"/>
      <c r="E874" s="56"/>
      <c r="F874" s="53"/>
      <c r="G874" s="53" t="str">
        <f>IF(ISBLANK(Acciones!$H874)=TRUE," ",WEEKNUM(Acciones!$H874,21))</f>
        <v xml:space="preserve"> </v>
      </c>
      <c r="H874" s="53"/>
      <c r="I874" s="66"/>
      <c r="J874" s="53"/>
      <c r="K874" s="48" t="str">
        <f ca="1">IF(AND(ISBLANK(Acciones!$D874)=FALSE,ISBLANK(Acciones!$H874)=TRUE),"Faltan fechas",IF(Acciones!$H874="","",IF(AND(Acciones!$H874&gt;=TODAY(),ISBLANK(Acciones!$J874)=TRUE),"En tiempo",IF(AND(Acciones!$H874&lt;TODAY(),Acciones!$J874=""),"Retrasado",IF(Acciones!$J874&gt;Acciones!$H874,"Cerrado con retraso","Cerrado")))))</f>
        <v/>
      </c>
      <c r="L874" s="61"/>
      <c r="M874" s="74"/>
      <c r="T874" s="26"/>
      <c r="U874" s="26"/>
    </row>
    <row r="875" spans="2:21" x14ac:dyDescent="0.3">
      <c r="B875" s="53"/>
      <c r="C875" s="65"/>
      <c r="D875" s="61"/>
      <c r="E875" s="56"/>
      <c r="F875" s="53"/>
      <c r="G875" s="53" t="str">
        <f>IF(ISBLANK(Acciones!$H875)=TRUE," ",WEEKNUM(Acciones!$H875,21))</f>
        <v xml:space="preserve"> </v>
      </c>
      <c r="H875" s="53"/>
      <c r="I875" s="66"/>
      <c r="J875" s="53"/>
      <c r="K875" s="48" t="str">
        <f ca="1">IF(AND(ISBLANK(Acciones!$D875)=FALSE,ISBLANK(Acciones!$H875)=TRUE),"Faltan fechas",IF(Acciones!$H875="","",IF(AND(Acciones!$H875&gt;=TODAY(),ISBLANK(Acciones!$J875)=TRUE),"En tiempo",IF(AND(Acciones!$H875&lt;TODAY(),Acciones!$J875=""),"Retrasado",IF(Acciones!$J875&gt;Acciones!$H875,"Cerrado con retraso","Cerrado")))))</f>
        <v/>
      </c>
      <c r="L875" s="61"/>
      <c r="M875" s="74"/>
      <c r="T875" s="26"/>
      <c r="U875" s="26"/>
    </row>
    <row r="876" spans="2:21" x14ac:dyDescent="0.3">
      <c r="B876" s="53"/>
      <c r="C876" s="65"/>
      <c r="D876" s="61"/>
      <c r="E876" s="56"/>
      <c r="F876" s="53"/>
      <c r="G876" s="53" t="str">
        <f>IF(ISBLANK(Acciones!$H876)=TRUE," ",WEEKNUM(Acciones!$H876,21))</f>
        <v xml:space="preserve"> </v>
      </c>
      <c r="H876" s="53"/>
      <c r="I876" s="66"/>
      <c r="J876" s="53"/>
      <c r="K876" s="48" t="str">
        <f ca="1">IF(AND(ISBLANK(Acciones!$D876)=FALSE,ISBLANK(Acciones!$H876)=TRUE),"Faltan fechas",IF(Acciones!$H876="","",IF(AND(Acciones!$H876&gt;=TODAY(),ISBLANK(Acciones!$J876)=TRUE),"En tiempo",IF(AND(Acciones!$H876&lt;TODAY(),Acciones!$J876=""),"Retrasado",IF(Acciones!$J876&gt;Acciones!$H876,"Cerrado con retraso","Cerrado")))))</f>
        <v/>
      </c>
      <c r="L876" s="61"/>
      <c r="M876" s="74"/>
      <c r="T876" s="26"/>
      <c r="U876" s="26"/>
    </row>
    <row r="877" spans="2:21" x14ac:dyDescent="0.3">
      <c r="B877" s="53"/>
      <c r="C877" s="65"/>
      <c r="D877" s="61"/>
      <c r="E877" s="56"/>
      <c r="F877" s="53"/>
      <c r="G877" s="53" t="str">
        <f>IF(ISBLANK(Acciones!$H877)=TRUE," ",WEEKNUM(Acciones!$H877,21))</f>
        <v xml:space="preserve"> </v>
      </c>
      <c r="H877" s="53"/>
      <c r="I877" s="66"/>
      <c r="J877" s="53"/>
      <c r="K877" s="48" t="str">
        <f ca="1">IF(AND(ISBLANK(Acciones!$D877)=FALSE,ISBLANK(Acciones!$H877)=TRUE),"Faltan fechas",IF(Acciones!$H877="","",IF(AND(Acciones!$H877&gt;=TODAY(),ISBLANK(Acciones!$J877)=TRUE),"En tiempo",IF(AND(Acciones!$H877&lt;TODAY(),Acciones!$J877=""),"Retrasado",IF(Acciones!$J877&gt;Acciones!$H877,"Cerrado con retraso","Cerrado")))))</f>
        <v/>
      </c>
      <c r="L877" s="61"/>
      <c r="M877" s="74"/>
      <c r="T877" s="26"/>
      <c r="U877" s="26"/>
    </row>
    <row r="878" spans="2:21" x14ac:dyDescent="0.3">
      <c r="B878" s="53"/>
      <c r="C878" s="65"/>
      <c r="D878" s="61"/>
      <c r="E878" s="56"/>
      <c r="F878" s="53"/>
      <c r="G878" s="53" t="str">
        <f>IF(ISBLANK(Acciones!$H878)=TRUE," ",WEEKNUM(Acciones!$H878,21))</f>
        <v xml:space="preserve"> </v>
      </c>
      <c r="H878" s="53"/>
      <c r="I878" s="66"/>
      <c r="J878" s="53"/>
      <c r="K878" s="48" t="str">
        <f ca="1">IF(AND(ISBLANK(Acciones!$D878)=FALSE,ISBLANK(Acciones!$H878)=TRUE),"Faltan fechas",IF(Acciones!$H878="","",IF(AND(Acciones!$H878&gt;=TODAY(),ISBLANK(Acciones!$J878)=TRUE),"En tiempo",IF(AND(Acciones!$H878&lt;TODAY(),Acciones!$J878=""),"Retrasado",IF(Acciones!$J878&gt;Acciones!$H878,"Cerrado con retraso","Cerrado")))))</f>
        <v/>
      </c>
      <c r="L878" s="61"/>
      <c r="M878" s="74"/>
      <c r="T878" s="26"/>
      <c r="U878" s="26"/>
    </row>
    <row r="879" spans="2:21" x14ac:dyDescent="0.3">
      <c r="B879" s="53"/>
      <c r="C879" s="65"/>
      <c r="D879" s="61"/>
      <c r="E879" s="56"/>
      <c r="F879" s="53"/>
      <c r="G879" s="53" t="str">
        <f>IF(ISBLANK(Acciones!$H879)=TRUE," ",WEEKNUM(Acciones!$H879,21))</f>
        <v xml:space="preserve"> </v>
      </c>
      <c r="H879" s="53"/>
      <c r="I879" s="66"/>
      <c r="J879" s="53"/>
      <c r="K879" s="48" t="str">
        <f ca="1">IF(AND(ISBLANK(Acciones!$D879)=FALSE,ISBLANK(Acciones!$H879)=TRUE),"Faltan fechas",IF(Acciones!$H879="","",IF(AND(Acciones!$H879&gt;=TODAY(),ISBLANK(Acciones!$J879)=TRUE),"En tiempo",IF(AND(Acciones!$H879&lt;TODAY(),Acciones!$J879=""),"Retrasado",IF(Acciones!$J879&gt;Acciones!$H879,"Cerrado con retraso","Cerrado")))))</f>
        <v/>
      </c>
      <c r="L879" s="61"/>
      <c r="M879" s="74"/>
      <c r="T879" s="26"/>
      <c r="U879" s="26"/>
    </row>
    <row r="880" spans="2:21" x14ac:dyDescent="0.3">
      <c r="B880" s="53"/>
      <c r="C880" s="65"/>
      <c r="D880" s="61"/>
      <c r="E880" s="56"/>
      <c r="F880" s="53"/>
      <c r="G880" s="53" t="str">
        <f>IF(ISBLANK(Acciones!$H880)=TRUE," ",WEEKNUM(Acciones!$H880,21))</f>
        <v xml:space="preserve"> </v>
      </c>
      <c r="H880" s="53"/>
      <c r="I880" s="66"/>
      <c r="J880" s="53"/>
      <c r="K880" s="48" t="str">
        <f ca="1">IF(AND(ISBLANK(Acciones!$D880)=FALSE,ISBLANK(Acciones!$H880)=TRUE),"Faltan fechas",IF(Acciones!$H880="","",IF(AND(Acciones!$H880&gt;=TODAY(),ISBLANK(Acciones!$J880)=TRUE),"En tiempo",IF(AND(Acciones!$H880&lt;TODAY(),Acciones!$J880=""),"Retrasado",IF(Acciones!$J880&gt;Acciones!$H880,"Cerrado con retraso","Cerrado")))))</f>
        <v/>
      </c>
      <c r="L880" s="61"/>
      <c r="M880" s="74"/>
      <c r="T880" s="26"/>
      <c r="U880" s="26"/>
    </row>
    <row r="881" spans="2:21" x14ac:dyDescent="0.3">
      <c r="B881" s="53"/>
      <c r="C881" s="65"/>
      <c r="D881" s="61"/>
      <c r="E881" s="56"/>
      <c r="F881" s="53"/>
      <c r="G881" s="53" t="str">
        <f>IF(ISBLANK(Acciones!$H881)=TRUE," ",WEEKNUM(Acciones!$H881,21))</f>
        <v xml:space="preserve"> </v>
      </c>
      <c r="H881" s="53"/>
      <c r="I881" s="66"/>
      <c r="J881" s="53"/>
      <c r="K881" s="48" t="str">
        <f ca="1">IF(AND(ISBLANK(Acciones!$D881)=FALSE,ISBLANK(Acciones!$H881)=TRUE),"Faltan fechas",IF(Acciones!$H881="","",IF(AND(Acciones!$H881&gt;=TODAY(),ISBLANK(Acciones!$J881)=TRUE),"En tiempo",IF(AND(Acciones!$H881&lt;TODAY(),Acciones!$J881=""),"Retrasado",IF(Acciones!$J881&gt;Acciones!$H881,"Cerrado con retraso","Cerrado")))))</f>
        <v/>
      </c>
      <c r="L881" s="61"/>
      <c r="M881" s="74"/>
      <c r="T881" s="26"/>
      <c r="U881" s="26"/>
    </row>
    <row r="882" spans="2:21" x14ac:dyDescent="0.3">
      <c r="B882" s="53"/>
      <c r="C882" s="65"/>
      <c r="D882" s="61"/>
      <c r="E882" s="56"/>
      <c r="F882" s="53"/>
      <c r="G882" s="53" t="str">
        <f>IF(ISBLANK(Acciones!$H882)=TRUE," ",WEEKNUM(Acciones!$H882,21))</f>
        <v xml:space="preserve"> </v>
      </c>
      <c r="H882" s="53"/>
      <c r="I882" s="66"/>
      <c r="J882" s="53"/>
      <c r="K882" s="48" t="str">
        <f ca="1">IF(AND(ISBLANK(Acciones!$D882)=FALSE,ISBLANK(Acciones!$H882)=TRUE),"Faltan fechas",IF(Acciones!$H882="","",IF(AND(Acciones!$H882&gt;=TODAY(),ISBLANK(Acciones!$J882)=TRUE),"En tiempo",IF(AND(Acciones!$H882&lt;TODAY(),Acciones!$J882=""),"Retrasado",IF(Acciones!$J882&gt;Acciones!$H882,"Cerrado con retraso","Cerrado")))))</f>
        <v/>
      </c>
      <c r="L882" s="61"/>
      <c r="M882" s="74"/>
      <c r="T882" s="26"/>
      <c r="U882" s="26"/>
    </row>
    <row r="883" spans="2:21" x14ac:dyDescent="0.3">
      <c r="B883" s="53"/>
      <c r="C883" s="65"/>
      <c r="D883" s="61"/>
      <c r="E883" s="56"/>
      <c r="F883" s="53"/>
      <c r="G883" s="53" t="str">
        <f>IF(ISBLANK(Acciones!$H883)=TRUE," ",WEEKNUM(Acciones!$H883,21))</f>
        <v xml:space="preserve"> </v>
      </c>
      <c r="H883" s="53"/>
      <c r="I883" s="66"/>
      <c r="J883" s="53"/>
      <c r="K883" s="48" t="str">
        <f ca="1">IF(AND(ISBLANK(Acciones!$D883)=FALSE,ISBLANK(Acciones!$H883)=TRUE),"Faltan fechas",IF(Acciones!$H883="","",IF(AND(Acciones!$H883&gt;=TODAY(),ISBLANK(Acciones!$J883)=TRUE),"En tiempo",IF(AND(Acciones!$H883&lt;TODAY(),Acciones!$J883=""),"Retrasado",IF(Acciones!$J883&gt;Acciones!$H883,"Cerrado con retraso","Cerrado")))))</f>
        <v/>
      </c>
      <c r="L883" s="61"/>
      <c r="M883" s="74"/>
      <c r="T883" s="26"/>
      <c r="U883" s="26"/>
    </row>
    <row r="884" spans="2:21" x14ac:dyDescent="0.3">
      <c r="B884" s="53"/>
      <c r="C884" s="65"/>
      <c r="D884" s="61"/>
      <c r="E884" s="56"/>
      <c r="F884" s="53"/>
      <c r="G884" s="53" t="str">
        <f>IF(ISBLANK(Acciones!$H884)=TRUE," ",WEEKNUM(Acciones!$H884,21))</f>
        <v xml:space="preserve"> </v>
      </c>
      <c r="H884" s="53"/>
      <c r="I884" s="66"/>
      <c r="J884" s="53"/>
      <c r="K884" s="48" t="str">
        <f ca="1">IF(AND(ISBLANK(Acciones!$D884)=FALSE,ISBLANK(Acciones!$H884)=TRUE),"Faltan fechas",IF(Acciones!$H884="","",IF(AND(Acciones!$H884&gt;=TODAY(),ISBLANK(Acciones!$J884)=TRUE),"En tiempo",IF(AND(Acciones!$H884&lt;TODAY(),Acciones!$J884=""),"Retrasado",IF(Acciones!$J884&gt;Acciones!$H884,"Cerrado con retraso","Cerrado")))))</f>
        <v/>
      </c>
      <c r="L884" s="61"/>
      <c r="M884" s="74"/>
      <c r="T884" s="26"/>
      <c r="U884" s="26"/>
    </row>
    <row r="885" spans="2:21" x14ac:dyDescent="0.3">
      <c r="B885" s="53"/>
      <c r="C885" s="65"/>
      <c r="D885" s="61"/>
      <c r="E885" s="56"/>
      <c r="F885" s="53"/>
      <c r="G885" s="53" t="str">
        <f>IF(ISBLANK(Acciones!$H885)=TRUE," ",WEEKNUM(Acciones!$H885,21))</f>
        <v xml:space="preserve"> </v>
      </c>
      <c r="H885" s="53"/>
      <c r="I885" s="66"/>
      <c r="J885" s="53"/>
      <c r="K885" s="48" t="str">
        <f ca="1">IF(AND(ISBLANK(Acciones!$D885)=FALSE,ISBLANK(Acciones!$H885)=TRUE),"Faltan fechas",IF(Acciones!$H885="","",IF(AND(Acciones!$H885&gt;=TODAY(),ISBLANK(Acciones!$J885)=TRUE),"En tiempo",IF(AND(Acciones!$H885&lt;TODAY(),Acciones!$J885=""),"Retrasado",IF(Acciones!$J885&gt;Acciones!$H885,"Cerrado con retraso","Cerrado")))))</f>
        <v/>
      </c>
      <c r="L885" s="61"/>
      <c r="M885" s="74"/>
      <c r="T885" s="26"/>
      <c r="U885" s="26"/>
    </row>
    <row r="886" spans="2:21" x14ac:dyDescent="0.3">
      <c r="B886" s="53"/>
      <c r="C886" s="65"/>
      <c r="D886" s="61"/>
      <c r="E886" s="56"/>
      <c r="F886" s="53"/>
      <c r="G886" s="53" t="str">
        <f>IF(ISBLANK(Acciones!$H886)=TRUE," ",WEEKNUM(Acciones!$H886,21))</f>
        <v xml:space="preserve"> </v>
      </c>
      <c r="H886" s="53"/>
      <c r="I886" s="66"/>
      <c r="J886" s="53"/>
      <c r="K886" s="48" t="str">
        <f ca="1">IF(AND(ISBLANK(Acciones!$D886)=FALSE,ISBLANK(Acciones!$H886)=TRUE),"Faltan fechas",IF(Acciones!$H886="","",IF(AND(Acciones!$H886&gt;=TODAY(),ISBLANK(Acciones!$J886)=TRUE),"En tiempo",IF(AND(Acciones!$H886&lt;TODAY(),Acciones!$J886=""),"Retrasado",IF(Acciones!$J886&gt;Acciones!$H886,"Cerrado con retraso","Cerrado")))))</f>
        <v/>
      </c>
      <c r="L886" s="61"/>
      <c r="M886" s="74"/>
      <c r="T886" s="26"/>
      <c r="U886" s="26"/>
    </row>
    <row r="887" spans="2:21" x14ac:dyDescent="0.3">
      <c r="B887" s="53"/>
      <c r="C887" s="65"/>
      <c r="D887" s="61"/>
      <c r="E887" s="56"/>
      <c r="F887" s="53"/>
      <c r="G887" s="53" t="str">
        <f>IF(ISBLANK(Acciones!$H887)=TRUE," ",WEEKNUM(Acciones!$H887,21))</f>
        <v xml:space="preserve"> </v>
      </c>
      <c r="H887" s="53"/>
      <c r="I887" s="66"/>
      <c r="J887" s="53"/>
      <c r="K887" s="48" t="str">
        <f ca="1">IF(AND(ISBLANK(Acciones!$D887)=FALSE,ISBLANK(Acciones!$H887)=TRUE),"Faltan fechas",IF(Acciones!$H887="","",IF(AND(Acciones!$H887&gt;=TODAY(),ISBLANK(Acciones!$J887)=TRUE),"En tiempo",IF(AND(Acciones!$H887&lt;TODAY(),Acciones!$J887=""),"Retrasado",IF(Acciones!$J887&gt;Acciones!$H887,"Cerrado con retraso","Cerrado")))))</f>
        <v/>
      </c>
      <c r="L887" s="61"/>
      <c r="M887" s="74"/>
      <c r="T887" s="26"/>
      <c r="U887" s="26"/>
    </row>
    <row r="888" spans="2:21" x14ac:dyDescent="0.3">
      <c r="B888" s="53"/>
      <c r="C888" s="65"/>
      <c r="D888" s="61"/>
      <c r="E888" s="56"/>
      <c r="F888" s="53"/>
      <c r="G888" s="53" t="str">
        <f>IF(ISBLANK(Acciones!$H888)=TRUE," ",WEEKNUM(Acciones!$H888,21))</f>
        <v xml:space="preserve"> </v>
      </c>
      <c r="H888" s="53"/>
      <c r="I888" s="66"/>
      <c r="J888" s="53"/>
      <c r="K888" s="48" t="str">
        <f ca="1">IF(AND(ISBLANK(Acciones!$D888)=FALSE,ISBLANK(Acciones!$H888)=TRUE),"Faltan fechas",IF(Acciones!$H888="","",IF(AND(Acciones!$H888&gt;=TODAY(),ISBLANK(Acciones!$J888)=TRUE),"En tiempo",IF(AND(Acciones!$H888&lt;TODAY(),Acciones!$J888=""),"Retrasado",IF(Acciones!$J888&gt;Acciones!$H888,"Cerrado con retraso","Cerrado")))))</f>
        <v/>
      </c>
      <c r="L888" s="61"/>
      <c r="M888" s="74"/>
      <c r="T888" s="26"/>
      <c r="U888" s="26"/>
    </row>
    <row r="889" spans="2:21" x14ac:dyDescent="0.3">
      <c r="B889" s="53"/>
      <c r="C889" s="65"/>
      <c r="D889" s="61"/>
      <c r="E889" s="56"/>
      <c r="F889" s="53"/>
      <c r="G889" s="53" t="str">
        <f>IF(ISBLANK(Acciones!$H889)=TRUE," ",WEEKNUM(Acciones!$H889,21))</f>
        <v xml:space="preserve"> </v>
      </c>
      <c r="H889" s="53"/>
      <c r="I889" s="66"/>
      <c r="J889" s="53"/>
      <c r="K889" s="48" t="str">
        <f ca="1">IF(AND(ISBLANK(Acciones!$D889)=FALSE,ISBLANK(Acciones!$H889)=TRUE),"Faltan fechas",IF(Acciones!$H889="","",IF(AND(Acciones!$H889&gt;=TODAY(),ISBLANK(Acciones!$J889)=TRUE),"En tiempo",IF(AND(Acciones!$H889&lt;TODAY(),Acciones!$J889=""),"Retrasado",IF(Acciones!$J889&gt;Acciones!$H889,"Cerrado con retraso","Cerrado")))))</f>
        <v/>
      </c>
      <c r="L889" s="61"/>
      <c r="M889" s="74"/>
      <c r="T889" s="26"/>
      <c r="U889" s="26"/>
    </row>
    <row r="890" spans="2:21" x14ac:dyDescent="0.3">
      <c r="B890" s="53"/>
      <c r="C890" s="65"/>
      <c r="D890" s="61"/>
      <c r="E890" s="56"/>
      <c r="F890" s="53"/>
      <c r="G890" s="53" t="str">
        <f>IF(ISBLANK(Acciones!$H890)=TRUE," ",WEEKNUM(Acciones!$H890,21))</f>
        <v xml:space="preserve"> </v>
      </c>
      <c r="H890" s="53"/>
      <c r="I890" s="66"/>
      <c r="J890" s="53"/>
      <c r="K890" s="48" t="str">
        <f ca="1">IF(AND(ISBLANK(Acciones!$D890)=FALSE,ISBLANK(Acciones!$H890)=TRUE),"Faltan fechas",IF(Acciones!$H890="","",IF(AND(Acciones!$H890&gt;=TODAY(),ISBLANK(Acciones!$J890)=TRUE),"En tiempo",IF(AND(Acciones!$H890&lt;TODAY(),Acciones!$J890=""),"Retrasado",IF(Acciones!$J890&gt;Acciones!$H890,"Cerrado con retraso","Cerrado")))))</f>
        <v/>
      </c>
      <c r="L890" s="61"/>
      <c r="M890" s="74"/>
      <c r="T890" s="26"/>
      <c r="U890" s="26"/>
    </row>
    <row r="891" spans="2:21" x14ac:dyDescent="0.3">
      <c r="B891" s="53"/>
      <c r="C891" s="65"/>
      <c r="D891" s="61"/>
      <c r="E891" s="56"/>
      <c r="F891" s="53"/>
      <c r="G891" s="53" t="str">
        <f>IF(ISBLANK(Acciones!$H891)=TRUE," ",WEEKNUM(Acciones!$H891,21))</f>
        <v xml:space="preserve"> </v>
      </c>
      <c r="H891" s="53"/>
      <c r="I891" s="66"/>
      <c r="J891" s="53"/>
      <c r="K891" s="48" t="str">
        <f ca="1">IF(AND(ISBLANK(Acciones!$D891)=FALSE,ISBLANK(Acciones!$H891)=TRUE),"Faltan fechas",IF(Acciones!$H891="","",IF(AND(Acciones!$H891&gt;=TODAY(),ISBLANK(Acciones!$J891)=TRUE),"En tiempo",IF(AND(Acciones!$H891&lt;TODAY(),Acciones!$J891=""),"Retrasado",IF(Acciones!$J891&gt;Acciones!$H891,"Cerrado con retraso","Cerrado")))))</f>
        <v/>
      </c>
      <c r="L891" s="61"/>
      <c r="M891" s="74"/>
      <c r="T891" s="26"/>
      <c r="U891" s="26"/>
    </row>
    <row r="892" spans="2:21" x14ac:dyDescent="0.3">
      <c r="B892" s="53"/>
      <c r="C892" s="65"/>
      <c r="D892" s="61"/>
      <c r="E892" s="56"/>
      <c r="F892" s="53"/>
      <c r="G892" s="53" t="str">
        <f>IF(ISBLANK(Acciones!$H892)=TRUE," ",WEEKNUM(Acciones!$H892,21))</f>
        <v xml:space="preserve"> </v>
      </c>
      <c r="H892" s="53"/>
      <c r="I892" s="66"/>
      <c r="J892" s="53"/>
      <c r="K892" s="48" t="str">
        <f ca="1">IF(AND(ISBLANK(Acciones!$D892)=FALSE,ISBLANK(Acciones!$H892)=TRUE),"Faltan fechas",IF(Acciones!$H892="","",IF(AND(Acciones!$H892&gt;=TODAY(),ISBLANK(Acciones!$J892)=TRUE),"En tiempo",IF(AND(Acciones!$H892&lt;TODAY(),Acciones!$J892=""),"Retrasado",IF(Acciones!$J892&gt;Acciones!$H892,"Cerrado con retraso","Cerrado")))))</f>
        <v/>
      </c>
      <c r="L892" s="61"/>
      <c r="M892" s="74"/>
      <c r="T892" s="26"/>
      <c r="U892" s="26"/>
    </row>
    <row r="893" spans="2:21" x14ac:dyDescent="0.3">
      <c r="B893" s="53"/>
      <c r="C893" s="65"/>
      <c r="D893" s="61"/>
      <c r="E893" s="56"/>
      <c r="F893" s="53"/>
      <c r="G893" s="53" t="str">
        <f>IF(ISBLANK(Acciones!$H893)=TRUE," ",WEEKNUM(Acciones!$H893,21))</f>
        <v xml:space="preserve"> </v>
      </c>
      <c r="H893" s="53"/>
      <c r="I893" s="66"/>
      <c r="J893" s="53"/>
      <c r="K893" s="48" t="str">
        <f ca="1">IF(AND(ISBLANK(Acciones!$D893)=FALSE,ISBLANK(Acciones!$H893)=TRUE),"Faltan fechas",IF(Acciones!$H893="","",IF(AND(Acciones!$H893&gt;=TODAY(),ISBLANK(Acciones!$J893)=TRUE),"En tiempo",IF(AND(Acciones!$H893&lt;TODAY(),Acciones!$J893=""),"Retrasado",IF(Acciones!$J893&gt;Acciones!$H893,"Cerrado con retraso","Cerrado")))))</f>
        <v/>
      </c>
      <c r="L893" s="61"/>
      <c r="M893" s="74"/>
      <c r="T893" s="26"/>
      <c r="U893" s="26"/>
    </row>
    <row r="894" spans="2:21" x14ac:dyDescent="0.3">
      <c r="B894" s="53"/>
      <c r="C894" s="65"/>
      <c r="D894" s="61"/>
      <c r="E894" s="56"/>
      <c r="F894" s="53"/>
      <c r="G894" s="53" t="str">
        <f>IF(ISBLANK(Acciones!$H894)=TRUE," ",WEEKNUM(Acciones!$H894,21))</f>
        <v xml:space="preserve"> </v>
      </c>
      <c r="H894" s="53"/>
      <c r="I894" s="66"/>
      <c r="J894" s="53"/>
      <c r="K894" s="48" t="str">
        <f ca="1">IF(AND(ISBLANK(Acciones!$D894)=FALSE,ISBLANK(Acciones!$H894)=TRUE),"Faltan fechas",IF(Acciones!$H894="","",IF(AND(Acciones!$H894&gt;=TODAY(),ISBLANK(Acciones!$J894)=TRUE),"En tiempo",IF(AND(Acciones!$H894&lt;TODAY(),Acciones!$J894=""),"Retrasado",IF(Acciones!$J894&gt;Acciones!$H894,"Cerrado con retraso","Cerrado")))))</f>
        <v/>
      </c>
      <c r="L894" s="61"/>
      <c r="M894" s="74"/>
      <c r="T894" s="26"/>
      <c r="U894" s="26"/>
    </row>
    <row r="895" spans="2:21" x14ac:dyDescent="0.3">
      <c r="B895" s="53"/>
      <c r="C895" s="65"/>
      <c r="D895" s="61"/>
      <c r="E895" s="56"/>
      <c r="F895" s="53"/>
      <c r="G895" s="53" t="str">
        <f>IF(ISBLANK(Acciones!$H895)=TRUE," ",WEEKNUM(Acciones!$H895,21))</f>
        <v xml:space="preserve"> </v>
      </c>
      <c r="H895" s="53"/>
      <c r="I895" s="66"/>
      <c r="J895" s="53"/>
      <c r="K895" s="48" t="str">
        <f ca="1">IF(AND(ISBLANK(Acciones!$D895)=FALSE,ISBLANK(Acciones!$H895)=TRUE),"Faltan fechas",IF(Acciones!$H895="","",IF(AND(Acciones!$H895&gt;=TODAY(),ISBLANK(Acciones!$J895)=TRUE),"En tiempo",IF(AND(Acciones!$H895&lt;TODAY(),Acciones!$J895=""),"Retrasado",IF(Acciones!$J895&gt;Acciones!$H895,"Cerrado con retraso","Cerrado")))))</f>
        <v/>
      </c>
      <c r="L895" s="61"/>
      <c r="M895" s="74"/>
      <c r="T895" s="26"/>
      <c r="U895" s="26"/>
    </row>
    <row r="896" spans="2:21" x14ac:dyDescent="0.3">
      <c r="B896" s="53"/>
      <c r="C896" s="65"/>
      <c r="D896" s="61"/>
      <c r="E896" s="56"/>
      <c r="F896" s="53"/>
      <c r="G896" s="53" t="str">
        <f>IF(ISBLANK(Acciones!$H896)=TRUE," ",WEEKNUM(Acciones!$H896,21))</f>
        <v xml:space="preserve"> </v>
      </c>
      <c r="H896" s="53"/>
      <c r="I896" s="66"/>
      <c r="J896" s="53"/>
      <c r="K896" s="48" t="str">
        <f ca="1">IF(AND(ISBLANK(Acciones!$D896)=FALSE,ISBLANK(Acciones!$H896)=TRUE),"Faltan fechas",IF(Acciones!$H896="","",IF(AND(Acciones!$H896&gt;=TODAY(),ISBLANK(Acciones!$J896)=TRUE),"En tiempo",IF(AND(Acciones!$H896&lt;TODAY(),Acciones!$J896=""),"Retrasado",IF(Acciones!$J896&gt;Acciones!$H896,"Cerrado con retraso","Cerrado")))))</f>
        <v/>
      </c>
      <c r="L896" s="61"/>
      <c r="M896" s="74"/>
      <c r="T896" s="26"/>
      <c r="U896" s="26"/>
    </row>
    <row r="897" spans="2:21" x14ac:dyDescent="0.3">
      <c r="B897" s="53"/>
      <c r="C897" s="65"/>
      <c r="D897" s="61"/>
      <c r="E897" s="56"/>
      <c r="F897" s="53"/>
      <c r="G897" s="53" t="str">
        <f>IF(ISBLANK(Acciones!$H897)=TRUE," ",WEEKNUM(Acciones!$H897,21))</f>
        <v xml:space="preserve"> </v>
      </c>
      <c r="H897" s="53"/>
      <c r="I897" s="66"/>
      <c r="J897" s="53"/>
      <c r="K897" s="48" t="str">
        <f ca="1">IF(AND(ISBLANK(Acciones!$D897)=FALSE,ISBLANK(Acciones!$H897)=TRUE),"Faltan fechas",IF(Acciones!$H897="","",IF(AND(Acciones!$H897&gt;=TODAY(),ISBLANK(Acciones!$J897)=TRUE),"En tiempo",IF(AND(Acciones!$H897&lt;TODAY(),Acciones!$J897=""),"Retrasado",IF(Acciones!$J897&gt;Acciones!$H897,"Cerrado con retraso","Cerrado")))))</f>
        <v/>
      </c>
      <c r="L897" s="61"/>
      <c r="M897" s="74"/>
      <c r="T897" s="26"/>
      <c r="U897" s="26"/>
    </row>
    <row r="898" spans="2:21" x14ac:dyDescent="0.3">
      <c r="B898" s="53"/>
      <c r="C898" s="65"/>
      <c r="D898" s="61"/>
      <c r="E898" s="56"/>
      <c r="F898" s="53"/>
      <c r="G898" s="53" t="str">
        <f>IF(ISBLANK(Acciones!$H898)=TRUE," ",WEEKNUM(Acciones!$H898,21))</f>
        <v xml:space="preserve"> </v>
      </c>
      <c r="H898" s="53"/>
      <c r="I898" s="66"/>
      <c r="J898" s="53"/>
      <c r="K898" s="48" t="str">
        <f ca="1">IF(AND(ISBLANK(Acciones!$D898)=FALSE,ISBLANK(Acciones!$H898)=TRUE),"Faltan fechas",IF(Acciones!$H898="","",IF(AND(Acciones!$H898&gt;=TODAY(),ISBLANK(Acciones!$J898)=TRUE),"En tiempo",IF(AND(Acciones!$H898&lt;TODAY(),Acciones!$J898=""),"Retrasado",IF(Acciones!$J898&gt;Acciones!$H898,"Cerrado con retraso","Cerrado")))))</f>
        <v/>
      </c>
      <c r="L898" s="61"/>
      <c r="M898" s="74"/>
      <c r="T898" s="26"/>
      <c r="U898" s="26"/>
    </row>
    <row r="899" spans="2:21" x14ac:dyDescent="0.3">
      <c r="B899" s="53"/>
      <c r="C899" s="65"/>
      <c r="D899" s="61"/>
      <c r="E899" s="56"/>
      <c r="F899" s="53"/>
      <c r="G899" s="53" t="str">
        <f>IF(ISBLANK(Acciones!$H899)=TRUE," ",WEEKNUM(Acciones!$H899,21))</f>
        <v xml:space="preserve"> </v>
      </c>
      <c r="H899" s="53"/>
      <c r="I899" s="66"/>
      <c r="J899" s="53"/>
      <c r="K899" s="48" t="str">
        <f ca="1">IF(AND(ISBLANK(Acciones!$D899)=FALSE,ISBLANK(Acciones!$H899)=TRUE),"Faltan fechas",IF(Acciones!$H899="","",IF(AND(Acciones!$H899&gt;=TODAY(),ISBLANK(Acciones!$J899)=TRUE),"En tiempo",IF(AND(Acciones!$H899&lt;TODAY(),Acciones!$J899=""),"Retrasado",IF(Acciones!$J899&gt;Acciones!$H899,"Cerrado con retraso","Cerrado")))))</f>
        <v/>
      </c>
      <c r="L899" s="61"/>
      <c r="M899" s="74"/>
      <c r="T899" s="26"/>
      <c r="U899" s="26"/>
    </row>
    <row r="900" spans="2:21" x14ac:dyDescent="0.3">
      <c r="B900" s="53"/>
      <c r="C900" s="65"/>
      <c r="D900" s="61"/>
      <c r="E900" s="56"/>
      <c r="F900" s="53"/>
      <c r="G900" s="53" t="str">
        <f>IF(ISBLANK(Acciones!$H900)=TRUE," ",WEEKNUM(Acciones!$H900,21))</f>
        <v xml:space="preserve"> </v>
      </c>
      <c r="H900" s="53"/>
      <c r="I900" s="66"/>
      <c r="J900" s="53"/>
      <c r="K900" s="48" t="str">
        <f ca="1">IF(AND(ISBLANK(Acciones!$D900)=FALSE,ISBLANK(Acciones!$H900)=TRUE),"Faltan fechas",IF(Acciones!$H900="","",IF(AND(Acciones!$H900&gt;=TODAY(),ISBLANK(Acciones!$J900)=TRUE),"En tiempo",IF(AND(Acciones!$H900&lt;TODAY(),Acciones!$J900=""),"Retrasado",IF(Acciones!$J900&gt;Acciones!$H900,"Cerrado con retraso","Cerrado")))))</f>
        <v/>
      </c>
      <c r="L900" s="61"/>
      <c r="M900" s="74"/>
      <c r="T900" s="26"/>
      <c r="U900" s="26"/>
    </row>
    <row r="901" spans="2:21" x14ac:dyDescent="0.3">
      <c r="B901" s="53"/>
      <c r="C901" s="65"/>
      <c r="D901" s="61"/>
      <c r="E901" s="56"/>
      <c r="F901" s="53"/>
      <c r="G901" s="53" t="str">
        <f>IF(ISBLANK(Acciones!$H901)=TRUE," ",WEEKNUM(Acciones!$H901,21))</f>
        <v xml:space="preserve"> </v>
      </c>
      <c r="H901" s="53"/>
      <c r="I901" s="66"/>
      <c r="J901" s="53"/>
      <c r="K901" s="48" t="str">
        <f ca="1">IF(AND(ISBLANK(Acciones!$D901)=FALSE,ISBLANK(Acciones!$H901)=TRUE),"Faltan fechas",IF(Acciones!$H901="","",IF(AND(Acciones!$H901&gt;=TODAY(),ISBLANK(Acciones!$J901)=TRUE),"En tiempo",IF(AND(Acciones!$H901&lt;TODAY(),Acciones!$J901=""),"Retrasado",IF(Acciones!$J901&gt;Acciones!$H901,"Cerrado con retraso","Cerrado")))))</f>
        <v/>
      </c>
      <c r="L901" s="61"/>
      <c r="M901" s="74"/>
      <c r="T901" s="26"/>
      <c r="U901" s="26"/>
    </row>
    <row r="902" spans="2:21" x14ac:dyDescent="0.3">
      <c r="B902" s="53"/>
      <c r="C902" s="65"/>
      <c r="D902" s="61"/>
      <c r="E902" s="56"/>
      <c r="F902" s="53"/>
      <c r="G902" s="53" t="str">
        <f>IF(ISBLANK(Acciones!$H902)=TRUE," ",WEEKNUM(Acciones!$H902,21))</f>
        <v xml:space="preserve"> </v>
      </c>
      <c r="H902" s="53"/>
      <c r="I902" s="66"/>
      <c r="J902" s="53"/>
      <c r="K902" s="48" t="str">
        <f ca="1">IF(AND(ISBLANK(Acciones!$D902)=FALSE,ISBLANK(Acciones!$H902)=TRUE),"Faltan fechas",IF(Acciones!$H902="","",IF(AND(Acciones!$H902&gt;=TODAY(),ISBLANK(Acciones!$J902)=TRUE),"En tiempo",IF(AND(Acciones!$H902&lt;TODAY(),Acciones!$J902=""),"Retrasado",IF(Acciones!$J902&gt;Acciones!$H902,"Cerrado con retraso","Cerrado")))))</f>
        <v/>
      </c>
      <c r="L902" s="61"/>
      <c r="M902" s="74"/>
      <c r="T902" s="26"/>
      <c r="U902" s="26"/>
    </row>
    <row r="903" spans="2:21" x14ac:dyDescent="0.3">
      <c r="B903" s="53"/>
      <c r="C903" s="65"/>
      <c r="D903" s="61"/>
      <c r="E903" s="56"/>
      <c r="F903" s="53"/>
      <c r="G903" s="53" t="str">
        <f>IF(ISBLANK(Acciones!$H903)=TRUE," ",WEEKNUM(Acciones!$H903,21))</f>
        <v xml:space="preserve"> </v>
      </c>
      <c r="H903" s="53"/>
      <c r="I903" s="66"/>
      <c r="J903" s="53"/>
      <c r="K903" s="48" t="str">
        <f ca="1">IF(AND(ISBLANK(Acciones!$D903)=FALSE,ISBLANK(Acciones!$H903)=TRUE),"Faltan fechas",IF(Acciones!$H903="","",IF(AND(Acciones!$H903&gt;=TODAY(),ISBLANK(Acciones!$J903)=TRUE),"En tiempo",IF(AND(Acciones!$H903&lt;TODAY(),Acciones!$J903=""),"Retrasado",IF(Acciones!$J903&gt;Acciones!$H903,"Cerrado con retraso","Cerrado")))))</f>
        <v/>
      </c>
      <c r="L903" s="61"/>
      <c r="M903" s="74"/>
      <c r="T903" s="26"/>
      <c r="U903" s="26"/>
    </row>
    <row r="904" spans="2:21" x14ac:dyDescent="0.3">
      <c r="B904" s="53"/>
      <c r="C904" s="65"/>
      <c r="D904" s="61"/>
      <c r="E904" s="56"/>
      <c r="F904" s="53"/>
      <c r="G904" s="53" t="str">
        <f>IF(ISBLANK(Acciones!$H904)=TRUE," ",WEEKNUM(Acciones!$H904,21))</f>
        <v xml:space="preserve"> </v>
      </c>
      <c r="H904" s="53"/>
      <c r="I904" s="66"/>
      <c r="J904" s="53"/>
      <c r="K904" s="48" t="str">
        <f ca="1">IF(AND(ISBLANK(Acciones!$D904)=FALSE,ISBLANK(Acciones!$H904)=TRUE),"Faltan fechas",IF(Acciones!$H904="","",IF(AND(Acciones!$H904&gt;=TODAY(),ISBLANK(Acciones!$J904)=TRUE),"En tiempo",IF(AND(Acciones!$H904&lt;TODAY(),Acciones!$J904=""),"Retrasado",IF(Acciones!$J904&gt;Acciones!$H904,"Cerrado con retraso","Cerrado")))))</f>
        <v/>
      </c>
      <c r="L904" s="61"/>
      <c r="M904" s="74"/>
      <c r="T904" s="26"/>
      <c r="U904" s="26"/>
    </row>
    <row r="905" spans="2:21" x14ac:dyDescent="0.3">
      <c r="B905" s="53"/>
      <c r="C905" s="65"/>
      <c r="D905" s="61"/>
      <c r="E905" s="56"/>
      <c r="F905" s="53"/>
      <c r="G905" s="53" t="str">
        <f>IF(ISBLANK(Acciones!$H905)=TRUE," ",WEEKNUM(Acciones!$H905,21))</f>
        <v xml:space="preserve"> </v>
      </c>
      <c r="H905" s="53"/>
      <c r="I905" s="66"/>
      <c r="J905" s="53"/>
      <c r="K905" s="48" t="str">
        <f ca="1">IF(AND(ISBLANK(Acciones!$D905)=FALSE,ISBLANK(Acciones!$H905)=TRUE),"Faltan fechas",IF(Acciones!$H905="","",IF(AND(Acciones!$H905&gt;=TODAY(),ISBLANK(Acciones!$J905)=TRUE),"En tiempo",IF(AND(Acciones!$H905&lt;TODAY(),Acciones!$J905=""),"Retrasado",IF(Acciones!$J905&gt;Acciones!$H905,"Cerrado con retraso","Cerrado")))))</f>
        <v/>
      </c>
      <c r="L905" s="61"/>
      <c r="M905" s="74"/>
      <c r="T905" s="26"/>
      <c r="U905" s="26"/>
    </row>
    <row r="906" spans="2:21" x14ac:dyDescent="0.3">
      <c r="B906" s="53"/>
      <c r="C906" s="65"/>
      <c r="D906" s="61"/>
      <c r="E906" s="56"/>
      <c r="F906" s="53"/>
      <c r="G906" s="53" t="str">
        <f>IF(ISBLANK(Acciones!$H906)=TRUE," ",WEEKNUM(Acciones!$H906,21))</f>
        <v xml:space="preserve"> </v>
      </c>
      <c r="H906" s="53"/>
      <c r="I906" s="66"/>
      <c r="J906" s="53"/>
      <c r="K906" s="48" t="str">
        <f ca="1">IF(AND(ISBLANK(Acciones!$D906)=FALSE,ISBLANK(Acciones!$H906)=TRUE),"Faltan fechas",IF(Acciones!$H906="","",IF(AND(Acciones!$H906&gt;=TODAY(),ISBLANK(Acciones!$J906)=TRUE),"En tiempo",IF(AND(Acciones!$H906&lt;TODAY(),Acciones!$J906=""),"Retrasado",IF(Acciones!$J906&gt;Acciones!$H906,"Cerrado con retraso","Cerrado")))))</f>
        <v/>
      </c>
      <c r="L906" s="61"/>
      <c r="M906" s="74"/>
      <c r="T906" s="26"/>
      <c r="U906" s="26"/>
    </row>
    <row r="907" spans="2:21" x14ac:dyDescent="0.3">
      <c r="B907" s="53"/>
      <c r="C907" s="65"/>
      <c r="D907" s="61"/>
      <c r="E907" s="56"/>
      <c r="F907" s="53"/>
      <c r="G907" s="53" t="str">
        <f>IF(ISBLANK(Acciones!$H907)=TRUE," ",WEEKNUM(Acciones!$H907,21))</f>
        <v xml:space="preserve"> </v>
      </c>
      <c r="H907" s="53"/>
      <c r="I907" s="66"/>
      <c r="J907" s="53"/>
      <c r="K907" s="48" t="str">
        <f ca="1">IF(AND(ISBLANK(Acciones!$D907)=FALSE,ISBLANK(Acciones!$H907)=TRUE),"Faltan fechas",IF(Acciones!$H907="","",IF(AND(Acciones!$H907&gt;=TODAY(),ISBLANK(Acciones!$J907)=TRUE),"En tiempo",IF(AND(Acciones!$H907&lt;TODAY(),Acciones!$J907=""),"Retrasado",IF(Acciones!$J907&gt;Acciones!$H907,"Cerrado con retraso","Cerrado")))))</f>
        <v/>
      </c>
      <c r="L907" s="61"/>
      <c r="M907" s="74"/>
      <c r="T907" s="26"/>
      <c r="U907" s="26"/>
    </row>
    <row r="908" spans="2:21" x14ac:dyDescent="0.3">
      <c r="B908" s="53"/>
      <c r="C908" s="65"/>
      <c r="D908" s="61"/>
      <c r="E908" s="56"/>
      <c r="F908" s="53"/>
      <c r="G908" s="53" t="str">
        <f>IF(ISBLANK(Acciones!$H908)=TRUE," ",WEEKNUM(Acciones!$H908,21))</f>
        <v xml:space="preserve"> </v>
      </c>
      <c r="H908" s="53"/>
      <c r="I908" s="66"/>
      <c r="J908" s="53"/>
      <c r="K908" s="48" t="str">
        <f ca="1">IF(AND(ISBLANK(Acciones!$D908)=FALSE,ISBLANK(Acciones!$H908)=TRUE),"Faltan fechas",IF(Acciones!$H908="","",IF(AND(Acciones!$H908&gt;=TODAY(),ISBLANK(Acciones!$J908)=TRUE),"En tiempo",IF(AND(Acciones!$H908&lt;TODAY(),Acciones!$J908=""),"Retrasado",IF(Acciones!$J908&gt;Acciones!$H908,"Cerrado con retraso","Cerrado")))))</f>
        <v/>
      </c>
      <c r="L908" s="61"/>
      <c r="M908" s="74"/>
      <c r="T908" s="26"/>
      <c r="U908" s="26"/>
    </row>
    <row r="909" spans="2:21" x14ac:dyDescent="0.3">
      <c r="B909" s="53"/>
      <c r="C909" s="65"/>
      <c r="D909" s="61"/>
      <c r="E909" s="56"/>
      <c r="F909" s="53"/>
      <c r="G909" s="53" t="str">
        <f>IF(ISBLANK(Acciones!$H909)=TRUE," ",WEEKNUM(Acciones!$H909,21))</f>
        <v xml:space="preserve"> </v>
      </c>
      <c r="H909" s="53"/>
      <c r="I909" s="66"/>
      <c r="J909" s="53"/>
      <c r="K909" s="48" t="str">
        <f ca="1">IF(AND(ISBLANK(Acciones!$D909)=FALSE,ISBLANK(Acciones!$H909)=TRUE),"Faltan fechas",IF(Acciones!$H909="","",IF(AND(Acciones!$H909&gt;=TODAY(),ISBLANK(Acciones!$J909)=TRUE),"En tiempo",IF(AND(Acciones!$H909&lt;TODAY(),Acciones!$J909=""),"Retrasado",IF(Acciones!$J909&gt;Acciones!$H909,"Cerrado con retraso","Cerrado")))))</f>
        <v/>
      </c>
      <c r="L909" s="61"/>
      <c r="M909" s="74"/>
      <c r="T909" s="26"/>
      <c r="U909" s="26"/>
    </row>
    <row r="910" spans="2:21" x14ac:dyDescent="0.3">
      <c r="B910" s="53"/>
      <c r="C910" s="65"/>
      <c r="D910" s="61"/>
      <c r="E910" s="56"/>
      <c r="F910" s="53"/>
      <c r="G910" s="53" t="str">
        <f>IF(ISBLANK(Acciones!$H910)=TRUE," ",WEEKNUM(Acciones!$H910,21))</f>
        <v xml:space="preserve"> </v>
      </c>
      <c r="H910" s="53"/>
      <c r="I910" s="66"/>
      <c r="J910" s="53"/>
      <c r="K910" s="48" t="str">
        <f ca="1">IF(AND(ISBLANK(Acciones!$D910)=FALSE,ISBLANK(Acciones!$H910)=TRUE),"Faltan fechas",IF(Acciones!$H910="","",IF(AND(Acciones!$H910&gt;=TODAY(),ISBLANK(Acciones!$J910)=TRUE),"En tiempo",IF(AND(Acciones!$H910&lt;TODAY(),Acciones!$J910=""),"Retrasado",IF(Acciones!$J910&gt;Acciones!$H910,"Cerrado con retraso","Cerrado")))))</f>
        <v/>
      </c>
      <c r="L910" s="61"/>
      <c r="M910" s="74"/>
      <c r="T910" s="26"/>
      <c r="U910" s="26"/>
    </row>
    <row r="911" spans="2:21" x14ac:dyDescent="0.3">
      <c r="B911" s="53"/>
      <c r="C911" s="65"/>
      <c r="D911" s="61"/>
      <c r="E911" s="56"/>
      <c r="F911" s="53"/>
      <c r="G911" s="53" t="str">
        <f>IF(ISBLANK(Acciones!$H911)=TRUE," ",WEEKNUM(Acciones!$H911,21))</f>
        <v xml:space="preserve"> </v>
      </c>
      <c r="H911" s="53"/>
      <c r="I911" s="66"/>
      <c r="J911" s="53"/>
      <c r="K911" s="48" t="str">
        <f ca="1">IF(AND(ISBLANK(Acciones!$D911)=FALSE,ISBLANK(Acciones!$H911)=TRUE),"Faltan fechas",IF(Acciones!$H911="","",IF(AND(Acciones!$H911&gt;=TODAY(),ISBLANK(Acciones!$J911)=TRUE),"En tiempo",IF(AND(Acciones!$H911&lt;TODAY(),Acciones!$J911=""),"Retrasado",IF(Acciones!$J911&gt;Acciones!$H911,"Cerrado con retraso","Cerrado")))))</f>
        <v/>
      </c>
      <c r="L911" s="61"/>
      <c r="M911" s="74"/>
      <c r="T911" s="26"/>
      <c r="U911" s="26"/>
    </row>
    <row r="912" spans="2:21" x14ac:dyDescent="0.3">
      <c r="B912" s="53"/>
      <c r="C912" s="65"/>
      <c r="D912" s="61"/>
      <c r="E912" s="56"/>
      <c r="F912" s="53"/>
      <c r="G912" s="53" t="str">
        <f>IF(ISBLANK(Acciones!$H912)=TRUE," ",WEEKNUM(Acciones!$H912,21))</f>
        <v xml:space="preserve"> </v>
      </c>
      <c r="H912" s="53"/>
      <c r="I912" s="66"/>
      <c r="J912" s="53"/>
      <c r="K912" s="48" t="str">
        <f ca="1">IF(AND(ISBLANK(Acciones!$D912)=FALSE,ISBLANK(Acciones!$H912)=TRUE),"Faltan fechas",IF(Acciones!$H912="","",IF(AND(Acciones!$H912&gt;=TODAY(),ISBLANK(Acciones!$J912)=TRUE),"En tiempo",IF(AND(Acciones!$H912&lt;TODAY(),Acciones!$J912=""),"Retrasado",IF(Acciones!$J912&gt;Acciones!$H912,"Cerrado con retraso","Cerrado")))))</f>
        <v/>
      </c>
      <c r="L912" s="61"/>
      <c r="M912" s="74"/>
      <c r="T912" s="26"/>
      <c r="U912" s="26"/>
    </row>
    <row r="913" spans="2:21" x14ac:dyDescent="0.3">
      <c r="B913" s="53"/>
      <c r="C913" s="65"/>
      <c r="D913" s="61"/>
      <c r="E913" s="56"/>
      <c r="F913" s="53"/>
      <c r="G913" s="53" t="str">
        <f>IF(ISBLANK(Acciones!$H913)=TRUE," ",WEEKNUM(Acciones!$H913,21))</f>
        <v xml:space="preserve"> </v>
      </c>
      <c r="H913" s="53"/>
      <c r="I913" s="66"/>
      <c r="J913" s="53"/>
      <c r="K913" s="48" t="str">
        <f ca="1">IF(AND(ISBLANK(Acciones!$D913)=FALSE,ISBLANK(Acciones!$H913)=TRUE),"Faltan fechas",IF(Acciones!$H913="","",IF(AND(Acciones!$H913&gt;=TODAY(),ISBLANK(Acciones!$J913)=TRUE),"En tiempo",IF(AND(Acciones!$H913&lt;TODAY(),Acciones!$J913=""),"Retrasado",IF(Acciones!$J913&gt;Acciones!$H913,"Cerrado con retraso","Cerrado")))))</f>
        <v/>
      </c>
      <c r="L913" s="61"/>
      <c r="M913" s="74"/>
      <c r="T913" s="26"/>
      <c r="U913" s="26"/>
    </row>
    <row r="914" spans="2:21" x14ac:dyDescent="0.3">
      <c r="B914" s="53"/>
      <c r="C914" s="65"/>
      <c r="D914" s="61"/>
      <c r="E914" s="56"/>
      <c r="F914" s="53"/>
      <c r="G914" s="53" t="str">
        <f>IF(ISBLANK(Acciones!$H914)=TRUE," ",WEEKNUM(Acciones!$H914,21))</f>
        <v xml:space="preserve"> </v>
      </c>
      <c r="H914" s="53"/>
      <c r="I914" s="66"/>
      <c r="J914" s="53"/>
      <c r="K914" s="48" t="str">
        <f ca="1">IF(AND(ISBLANK(Acciones!$D914)=FALSE,ISBLANK(Acciones!$H914)=TRUE),"Faltan fechas",IF(Acciones!$H914="","",IF(AND(Acciones!$H914&gt;=TODAY(),ISBLANK(Acciones!$J914)=TRUE),"En tiempo",IF(AND(Acciones!$H914&lt;TODAY(),Acciones!$J914=""),"Retrasado",IF(Acciones!$J914&gt;Acciones!$H914,"Cerrado con retraso","Cerrado")))))</f>
        <v/>
      </c>
      <c r="L914" s="61"/>
      <c r="M914" s="74"/>
      <c r="T914" s="26"/>
      <c r="U914" s="26"/>
    </row>
    <row r="915" spans="2:21" x14ac:dyDescent="0.3">
      <c r="B915" s="53"/>
      <c r="C915" s="65"/>
      <c r="D915" s="61"/>
      <c r="E915" s="56"/>
      <c r="F915" s="53"/>
      <c r="G915" s="53" t="str">
        <f>IF(ISBLANK(Acciones!$H915)=TRUE," ",WEEKNUM(Acciones!$H915,21))</f>
        <v xml:space="preserve"> </v>
      </c>
      <c r="H915" s="53"/>
      <c r="I915" s="66"/>
      <c r="J915" s="53"/>
      <c r="K915" s="48" t="str">
        <f ca="1">IF(AND(ISBLANK(Acciones!$D915)=FALSE,ISBLANK(Acciones!$H915)=TRUE),"Faltan fechas",IF(Acciones!$H915="","",IF(AND(Acciones!$H915&gt;=TODAY(),ISBLANK(Acciones!$J915)=TRUE),"En tiempo",IF(AND(Acciones!$H915&lt;TODAY(),Acciones!$J915=""),"Retrasado",IF(Acciones!$J915&gt;Acciones!$H915,"Cerrado con retraso","Cerrado")))))</f>
        <v/>
      </c>
      <c r="L915" s="61"/>
      <c r="M915" s="74"/>
      <c r="T915" s="26"/>
      <c r="U915" s="26"/>
    </row>
    <row r="916" spans="2:21" x14ac:dyDescent="0.3">
      <c r="B916" s="53"/>
      <c r="C916" s="65"/>
      <c r="D916" s="61"/>
      <c r="E916" s="56"/>
      <c r="F916" s="53"/>
      <c r="G916" s="53" t="str">
        <f>IF(ISBLANK(Acciones!$H916)=TRUE," ",WEEKNUM(Acciones!$H916,21))</f>
        <v xml:space="preserve"> </v>
      </c>
      <c r="H916" s="53"/>
      <c r="I916" s="66"/>
      <c r="J916" s="53"/>
      <c r="K916" s="48" t="str">
        <f ca="1">IF(AND(ISBLANK(Acciones!$D916)=FALSE,ISBLANK(Acciones!$H916)=TRUE),"Faltan fechas",IF(Acciones!$H916="","",IF(AND(Acciones!$H916&gt;=TODAY(),ISBLANK(Acciones!$J916)=TRUE),"En tiempo",IF(AND(Acciones!$H916&lt;TODAY(),Acciones!$J916=""),"Retrasado",IF(Acciones!$J916&gt;Acciones!$H916,"Cerrado con retraso","Cerrado")))))</f>
        <v/>
      </c>
      <c r="L916" s="61"/>
      <c r="M916" s="74"/>
      <c r="T916" s="26"/>
      <c r="U916" s="26"/>
    </row>
    <row r="917" spans="2:21" x14ac:dyDescent="0.3">
      <c r="B917" s="53"/>
      <c r="C917" s="65"/>
      <c r="D917" s="61"/>
      <c r="E917" s="56"/>
      <c r="F917" s="53"/>
      <c r="G917" s="53" t="str">
        <f>IF(ISBLANK(Acciones!$H917)=TRUE," ",WEEKNUM(Acciones!$H917,21))</f>
        <v xml:space="preserve"> </v>
      </c>
      <c r="H917" s="53"/>
      <c r="I917" s="66"/>
      <c r="J917" s="53"/>
      <c r="K917" s="48" t="str">
        <f ca="1">IF(AND(ISBLANK(Acciones!$D917)=FALSE,ISBLANK(Acciones!$H917)=TRUE),"Faltan fechas",IF(Acciones!$H917="","",IF(AND(Acciones!$H917&gt;=TODAY(),ISBLANK(Acciones!$J917)=TRUE),"En tiempo",IF(AND(Acciones!$H917&lt;TODAY(),Acciones!$J917=""),"Retrasado",IF(Acciones!$J917&gt;Acciones!$H917,"Cerrado con retraso","Cerrado")))))</f>
        <v/>
      </c>
      <c r="L917" s="61"/>
      <c r="M917" s="74"/>
      <c r="T917" s="26"/>
      <c r="U917" s="26"/>
    </row>
    <row r="918" spans="2:21" x14ac:dyDescent="0.3">
      <c r="B918" s="53"/>
      <c r="C918" s="65"/>
      <c r="D918" s="61"/>
      <c r="E918" s="56"/>
      <c r="F918" s="53"/>
      <c r="G918" s="53" t="str">
        <f>IF(ISBLANK(Acciones!$H918)=TRUE," ",WEEKNUM(Acciones!$H918,21))</f>
        <v xml:space="preserve"> </v>
      </c>
      <c r="H918" s="53"/>
      <c r="I918" s="66"/>
      <c r="J918" s="53"/>
      <c r="K918" s="48" t="str">
        <f ca="1">IF(AND(ISBLANK(Acciones!$D918)=FALSE,ISBLANK(Acciones!$H918)=TRUE),"Faltan fechas",IF(Acciones!$H918="","",IF(AND(Acciones!$H918&gt;=TODAY(),ISBLANK(Acciones!$J918)=TRUE),"En tiempo",IF(AND(Acciones!$H918&lt;TODAY(),Acciones!$J918=""),"Retrasado",IF(Acciones!$J918&gt;Acciones!$H918,"Cerrado con retraso","Cerrado")))))</f>
        <v/>
      </c>
      <c r="L918" s="61"/>
      <c r="M918" s="74"/>
      <c r="T918" s="26"/>
      <c r="U918" s="26"/>
    </row>
    <row r="919" spans="2:21" x14ac:dyDescent="0.3">
      <c r="B919" s="53"/>
      <c r="C919" s="65"/>
      <c r="D919" s="61"/>
      <c r="E919" s="56"/>
      <c r="F919" s="53"/>
      <c r="G919" s="53" t="str">
        <f>IF(ISBLANK(Acciones!$H919)=TRUE," ",WEEKNUM(Acciones!$H919,21))</f>
        <v xml:space="preserve"> </v>
      </c>
      <c r="H919" s="53"/>
      <c r="I919" s="66"/>
      <c r="J919" s="53"/>
      <c r="K919" s="48" t="str">
        <f ca="1">IF(AND(ISBLANK(Acciones!$D919)=FALSE,ISBLANK(Acciones!$H919)=TRUE),"Faltan fechas",IF(Acciones!$H919="","",IF(AND(Acciones!$H919&gt;=TODAY(),ISBLANK(Acciones!$J919)=TRUE),"En tiempo",IF(AND(Acciones!$H919&lt;TODAY(),Acciones!$J919=""),"Retrasado",IF(Acciones!$J919&gt;Acciones!$H919,"Cerrado con retraso","Cerrado")))))</f>
        <v/>
      </c>
      <c r="L919" s="61"/>
      <c r="M919" s="74"/>
      <c r="T919" s="26"/>
      <c r="U919" s="26"/>
    </row>
    <row r="920" spans="2:21" x14ac:dyDescent="0.3">
      <c r="B920" s="53"/>
      <c r="C920" s="65"/>
      <c r="D920" s="61"/>
      <c r="E920" s="56"/>
      <c r="F920" s="53"/>
      <c r="G920" s="53" t="str">
        <f>IF(ISBLANK(Acciones!$H920)=TRUE," ",WEEKNUM(Acciones!$H920,21))</f>
        <v xml:space="preserve"> </v>
      </c>
      <c r="H920" s="53"/>
      <c r="I920" s="66"/>
      <c r="J920" s="53"/>
      <c r="K920" s="48" t="str">
        <f ca="1">IF(AND(ISBLANK(Acciones!$D920)=FALSE,ISBLANK(Acciones!$H920)=TRUE),"Faltan fechas",IF(Acciones!$H920="","",IF(AND(Acciones!$H920&gt;=TODAY(),ISBLANK(Acciones!$J920)=TRUE),"En tiempo",IF(AND(Acciones!$H920&lt;TODAY(),Acciones!$J920=""),"Retrasado",IF(Acciones!$J920&gt;Acciones!$H920,"Cerrado con retraso","Cerrado")))))</f>
        <v/>
      </c>
      <c r="L920" s="61"/>
      <c r="M920" s="74"/>
      <c r="T920" s="26"/>
      <c r="U920" s="26"/>
    </row>
    <row r="921" spans="2:21" x14ac:dyDescent="0.3">
      <c r="B921" s="53"/>
      <c r="C921" s="65"/>
      <c r="D921" s="61"/>
      <c r="E921" s="56"/>
      <c r="F921" s="53"/>
      <c r="G921" s="53" t="str">
        <f>IF(ISBLANK(Acciones!$H921)=TRUE," ",WEEKNUM(Acciones!$H921,21))</f>
        <v xml:space="preserve"> </v>
      </c>
      <c r="H921" s="53"/>
      <c r="I921" s="66"/>
      <c r="J921" s="53"/>
      <c r="K921" s="48" t="str">
        <f ca="1">IF(AND(ISBLANK(Acciones!$D921)=FALSE,ISBLANK(Acciones!$H921)=TRUE),"Faltan fechas",IF(Acciones!$H921="","",IF(AND(Acciones!$H921&gt;=TODAY(),ISBLANK(Acciones!$J921)=TRUE),"En tiempo",IF(AND(Acciones!$H921&lt;TODAY(),Acciones!$J921=""),"Retrasado",IF(Acciones!$J921&gt;Acciones!$H921,"Cerrado con retraso","Cerrado")))))</f>
        <v/>
      </c>
      <c r="L921" s="61"/>
      <c r="M921" s="74"/>
      <c r="T921" s="26"/>
      <c r="U921" s="26"/>
    </row>
    <row r="922" spans="2:21" x14ac:dyDescent="0.3">
      <c r="B922" s="53"/>
      <c r="C922" s="65"/>
      <c r="D922" s="61"/>
      <c r="E922" s="56"/>
      <c r="F922" s="53"/>
      <c r="G922" s="53" t="str">
        <f>IF(ISBLANK(Acciones!$H922)=TRUE," ",WEEKNUM(Acciones!$H922,21))</f>
        <v xml:space="preserve"> </v>
      </c>
      <c r="H922" s="53"/>
      <c r="I922" s="66"/>
      <c r="J922" s="53"/>
      <c r="K922" s="48" t="str">
        <f ca="1">IF(AND(ISBLANK(Acciones!$D922)=FALSE,ISBLANK(Acciones!$H922)=TRUE),"Faltan fechas",IF(Acciones!$H922="","",IF(AND(Acciones!$H922&gt;=TODAY(),ISBLANK(Acciones!$J922)=TRUE),"En tiempo",IF(AND(Acciones!$H922&lt;TODAY(),Acciones!$J922=""),"Retrasado",IF(Acciones!$J922&gt;Acciones!$H922,"Cerrado con retraso","Cerrado")))))</f>
        <v/>
      </c>
      <c r="L922" s="61"/>
      <c r="M922" s="74"/>
      <c r="T922" s="26"/>
      <c r="U922" s="26"/>
    </row>
    <row r="923" spans="2:21" x14ac:dyDescent="0.3">
      <c r="B923" s="53"/>
      <c r="C923" s="65"/>
      <c r="D923" s="61"/>
      <c r="E923" s="56"/>
      <c r="F923" s="53"/>
      <c r="G923" s="53" t="str">
        <f>IF(ISBLANK(Acciones!$H923)=TRUE," ",WEEKNUM(Acciones!$H923,21))</f>
        <v xml:space="preserve"> </v>
      </c>
      <c r="H923" s="53"/>
      <c r="I923" s="66"/>
      <c r="J923" s="53"/>
      <c r="K923" s="48" t="str">
        <f ca="1">IF(AND(ISBLANK(Acciones!$D923)=FALSE,ISBLANK(Acciones!$H923)=TRUE),"Faltan fechas",IF(Acciones!$H923="","",IF(AND(Acciones!$H923&gt;=TODAY(),ISBLANK(Acciones!$J923)=TRUE),"En tiempo",IF(AND(Acciones!$H923&lt;TODAY(),Acciones!$J923=""),"Retrasado",IF(Acciones!$J923&gt;Acciones!$H923,"Cerrado con retraso","Cerrado")))))</f>
        <v/>
      </c>
      <c r="L923" s="61"/>
      <c r="M923" s="74"/>
      <c r="T923" s="26"/>
      <c r="U923" s="26"/>
    </row>
    <row r="924" spans="2:21" x14ac:dyDescent="0.3">
      <c r="B924" s="53"/>
      <c r="C924" s="65"/>
      <c r="D924" s="61"/>
      <c r="E924" s="56"/>
      <c r="F924" s="53"/>
      <c r="G924" s="53" t="str">
        <f>IF(ISBLANK(Acciones!$H924)=TRUE," ",WEEKNUM(Acciones!$H924,21))</f>
        <v xml:space="preserve"> </v>
      </c>
      <c r="H924" s="53"/>
      <c r="I924" s="66"/>
      <c r="J924" s="53"/>
      <c r="K924" s="48" t="str">
        <f ca="1">IF(AND(ISBLANK(Acciones!$D924)=FALSE,ISBLANK(Acciones!$H924)=TRUE),"Faltan fechas",IF(Acciones!$H924="","",IF(AND(Acciones!$H924&gt;=TODAY(),ISBLANK(Acciones!$J924)=TRUE),"En tiempo",IF(AND(Acciones!$H924&lt;TODAY(),Acciones!$J924=""),"Retrasado",IF(Acciones!$J924&gt;Acciones!$H924,"Cerrado con retraso","Cerrado")))))</f>
        <v/>
      </c>
      <c r="L924" s="61"/>
      <c r="M924" s="74"/>
      <c r="T924" s="26"/>
      <c r="U924" s="26"/>
    </row>
    <row r="925" spans="2:21" x14ac:dyDescent="0.3">
      <c r="B925" s="53"/>
      <c r="C925" s="65"/>
      <c r="D925" s="61"/>
      <c r="E925" s="56"/>
      <c r="F925" s="53"/>
      <c r="G925" s="53" t="str">
        <f>IF(ISBLANK(Acciones!$H925)=TRUE," ",WEEKNUM(Acciones!$H925,21))</f>
        <v xml:space="preserve"> </v>
      </c>
      <c r="H925" s="53"/>
      <c r="I925" s="66"/>
      <c r="J925" s="53"/>
      <c r="K925" s="48" t="str">
        <f ca="1">IF(AND(ISBLANK(Acciones!$D925)=FALSE,ISBLANK(Acciones!$H925)=TRUE),"Faltan fechas",IF(Acciones!$H925="","",IF(AND(Acciones!$H925&gt;=TODAY(),ISBLANK(Acciones!$J925)=TRUE),"En tiempo",IF(AND(Acciones!$H925&lt;TODAY(),Acciones!$J925=""),"Retrasado",IF(Acciones!$J925&gt;Acciones!$H925,"Cerrado con retraso","Cerrado")))))</f>
        <v/>
      </c>
      <c r="L925" s="61"/>
      <c r="M925" s="74"/>
      <c r="T925" s="26"/>
      <c r="U925" s="26"/>
    </row>
    <row r="926" spans="2:21" x14ac:dyDescent="0.3">
      <c r="B926" s="53"/>
      <c r="C926" s="65"/>
      <c r="D926" s="61"/>
      <c r="E926" s="56"/>
      <c r="F926" s="53"/>
      <c r="G926" s="53" t="str">
        <f>IF(ISBLANK(Acciones!$H926)=TRUE," ",WEEKNUM(Acciones!$H926,21))</f>
        <v xml:space="preserve"> </v>
      </c>
      <c r="H926" s="53"/>
      <c r="I926" s="66"/>
      <c r="J926" s="53"/>
      <c r="K926" s="48" t="str">
        <f ca="1">IF(AND(ISBLANK(Acciones!$D926)=FALSE,ISBLANK(Acciones!$H926)=TRUE),"Faltan fechas",IF(Acciones!$H926="","",IF(AND(Acciones!$H926&gt;=TODAY(),ISBLANK(Acciones!$J926)=TRUE),"En tiempo",IF(AND(Acciones!$H926&lt;TODAY(),Acciones!$J926=""),"Retrasado",IF(Acciones!$J926&gt;Acciones!$H926,"Cerrado con retraso","Cerrado")))))</f>
        <v/>
      </c>
      <c r="L926" s="61"/>
      <c r="M926" s="74"/>
      <c r="T926" s="26"/>
      <c r="U926" s="26"/>
    </row>
    <row r="927" spans="2:21" x14ac:dyDescent="0.3">
      <c r="B927" s="53"/>
      <c r="C927" s="65"/>
      <c r="D927" s="61"/>
      <c r="E927" s="56"/>
      <c r="F927" s="53"/>
      <c r="G927" s="53" t="str">
        <f>IF(ISBLANK(Acciones!$H927)=TRUE," ",WEEKNUM(Acciones!$H927,21))</f>
        <v xml:space="preserve"> </v>
      </c>
      <c r="H927" s="53"/>
      <c r="I927" s="66"/>
      <c r="J927" s="53"/>
      <c r="K927" s="48" t="str">
        <f ca="1">IF(AND(ISBLANK(Acciones!$D927)=FALSE,ISBLANK(Acciones!$H927)=TRUE),"Faltan fechas",IF(Acciones!$H927="","",IF(AND(Acciones!$H927&gt;=TODAY(),ISBLANK(Acciones!$J927)=TRUE),"En tiempo",IF(AND(Acciones!$H927&lt;TODAY(),Acciones!$J927=""),"Retrasado",IF(Acciones!$J927&gt;Acciones!$H927,"Cerrado con retraso","Cerrado")))))</f>
        <v/>
      </c>
      <c r="L927" s="61"/>
      <c r="M927" s="74"/>
      <c r="T927" s="26"/>
      <c r="U927" s="26"/>
    </row>
    <row r="928" spans="2:21" x14ac:dyDescent="0.3">
      <c r="B928" s="53"/>
      <c r="C928" s="65"/>
      <c r="D928" s="61"/>
      <c r="E928" s="56"/>
      <c r="F928" s="53"/>
      <c r="G928" s="53" t="str">
        <f>IF(ISBLANK(Acciones!$H928)=TRUE," ",WEEKNUM(Acciones!$H928,21))</f>
        <v xml:space="preserve"> </v>
      </c>
      <c r="H928" s="53"/>
      <c r="I928" s="66"/>
      <c r="J928" s="53"/>
      <c r="K928" s="48" t="str">
        <f ca="1">IF(AND(ISBLANK(Acciones!$D928)=FALSE,ISBLANK(Acciones!$H928)=TRUE),"Faltan fechas",IF(Acciones!$H928="","",IF(AND(Acciones!$H928&gt;=TODAY(),ISBLANK(Acciones!$J928)=TRUE),"En tiempo",IF(AND(Acciones!$H928&lt;TODAY(),Acciones!$J928=""),"Retrasado",IF(Acciones!$J928&gt;Acciones!$H928,"Cerrado con retraso","Cerrado")))))</f>
        <v/>
      </c>
      <c r="L928" s="61"/>
      <c r="M928" s="74"/>
      <c r="T928" s="26"/>
      <c r="U928" s="26"/>
    </row>
    <row r="929" spans="2:21" x14ac:dyDescent="0.3">
      <c r="B929" s="53"/>
      <c r="C929" s="65"/>
      <c r="D929" s="61"/>
      <c r="E929" s="56"/>
      <c r="F929" s="53"/>
      <c r="G929" s="53" t="str">
        <f>IF(ISBLANK(Acciones!$H929)=TRUE," ",WEEKNUM(Acciones!$H929,21))</f>
        <v xml:space="preserve"> </v>
      </c>
      <c r="H929" s="53"/>
      <c r="I929" s="66"/>
      <c r="J929" s="53"/>
      <c r="K929" s="48" t="str">
        <f ca="1">IF(AND(ISBLANK(Acciones!$D929)=FALSE,ISBLANK(Acciones!$H929)=TRUE),"Faltan fechas",IF(Acciones!$H929="","",IF(AND(Acciones!$H929&gt;=TODAY(),ISBLANK(Acciones!$J929)=TRUE),"En tiempo",IF(AND(Acciones!$H929&lt;TODAY(),Acciones!$J929=""),"Retrasado",IF(Acciones!$J929&gt;Acciones!$H929,"Cerrado con retraso","Cerrado")))))</f>
        <v/>
      </c>
      <c r="L929" s="61"/>
      <c r="M929" s="74"/>
      <c r="T929" s="26"/>
      <c r="U929" s="26"/>
    </row>
    <row r="930" spans="2:21" x14ac:dyDescent="0.3">
      <c r="B930" s="53"/>
      <c r="C930" s="65"/>
      <c r="D930" s="61"/>
      <c r="E930" s="56"/>
      <c r="F930" s="53"/>
      <c r="G930" s="53" t="str">
        <f>IF(ISBLANK(Acciones!$H930)=TRUE," ",WEEKNUM(Acciones!$H930,21))</f>
        <v xml:space="preserve"> </v>
      </c>
      <c r="H930" s="53"/>
      <c r="I930" s="66"/>
      <c r="J930" s="53"/>
      <c r="K930" s="48" t="str">
        <f ca="1">IF(AND(ISBLANK(Acciones!$D930)=FALSE,ISBLANK(Acciones!$H930)=TRUE),"Faltan fechas",IF(Acciones!$H930="","",IF(AND(Acciones!$H930&gt;=TODAY(),ISBLANK(Acciones!$J930)=TRUE),"En tiempo",IF(AND(Acciones!$H930&lt;TODAY(),Acciones!$J930=""),"Retrasado",IF(Acciones!$J930&gt;Acciones!$H930,"Cerrado con retraso","Cerrado")))))</f>
        <v/>
      </c>
      <c r="L930" s="61"/>
      <c r="M930" s="74"/>
      <c r="T930" s="26"/>
      <c r="U930" s="26"/>
    </row>
    <row r="931" spans="2:21" x14ac:dyDescent="0.3">
      <c r="B931" s="53"/>
      <c r="C931" s="65"/>
      <c r="D931" s="61"/>
      <c r="E931" s="56"/>
      <c r="F931" s="53"/>
      <c r="G931" s="53" t="str">
        <f>IF(ISBLANK(Acciones!$H931)=TRUE," ",WEEKNUM(Acciones!$H931,21))</f>
        <v xml:space="preserve"> </v>
      </c>
      <c r="H931" s="53"/>
      <c r="I931" s="66"/>
      <c r="J931" s="53"/>
      <c r="K931" s="48" t="str">
        <f ca="1">IF(AND(ISBLANK(Acciones!$D931)=FALSE,ISBLANK(Acciones!$H931)=TRUE),"Faltan fechas",IF(Acciones!$H931="","",IF(AND(Acciones!$H931&gt;=TODAY(),ISBLANK(Acciones!$J931)=TRUE),"En tiempo",IF(AND(Acciones!$H931&lt;TODAY(),Acciones!$J931=""),"Retrasado",IF(Acciones!$J931&gt;Acciones!$H931,"Cerrado con retraso","Cerrado")))))</f>
        <v/>
      </c>
      <c r="L931" s="61"/>
      <c r="M931" s="74"/>
      <c r="T931" s="26"/>
      <c r="U931" s="26"/>
    </row>
    <row r="932" spans="2:21" x14ac:dyDescent="0.3">
      <c r="B932" s="53"/>
      <c r="C932" s="65"/>
      <c r="D932" s="61"/>
      <c r="E932" s="56"/>
      <c r="F932" s="53"/>
      <c r="G932" s="53" t="str">
        <f>IF(ISBLANK(Acciones!$H932)=TRUE," ",WEEKNUM(Acciones!$H932,21))</f>
        <v xml:space="preserve"> </v>
      </c>
      <c r="H932" s="53"/>
      <c r="I932" s="66"/>
      <c r="J932" s="53"/>
      <c r="K932" s="48" t="str">
        <f ca="1">IF(AND(ISBLANK(Acciones!$D932)=FALSE,ISBLANK(Acciones!$H932)=TRUE),"Faltan fechas",IF(Acciones!$H932="","",IF(AND(Acciones!$H932&gt;=TODAY(),ISBLANK(Acciones!$J932)=TRUE),"En tiempo",IF(AND(Acciones!$H932&lt;TODAY(),Acciones!$J932=""),"Retrasado",IF(Acciones!$J932&gt;Acciones!$H932,"Cerrado con retraso","Cerrado")))))</f>
        <v/>
      </c>
      <c r="L932" s="61"/>
      <c r="M932" s="74"/>
      <c r="T932" s="26"/>
      <c r="U932" s="26"/>
    </row>
    <row r="933" spans="2:21" x14ac:dyDescent="0.3">
      <c r="B933" s="53"/>
      <c r="C933" s="65"/>
      <c r="D933" s="61"/>
      <c r="E933" s="56"/>
      <c r="F933" s="53"/>
      <c r="G933" s="53" t="str">
        <f>IF(ISBLANK(Acciones!$H933)=TRUE," ",WEEKNUM(Acciones!$H933,21))</f>
        <v xml:space="preserve"> </v>
      </c>
      <c r="H933" s="53"/>
      <c r="I933" s="66"/>
      <c r="J933" s="53"/>
      <c r="K933" s="48" t="str">
        <f ca="1">IF(AND(ISBLANK(Acciones!$D933)=FALSE,ISBLANK(Acciones!$H933)=TRUE),"Faltan fechas",IF(Acciones!$H933="","",IF(AND(Acciones!$H933&gt;=TODAY(),ISBLANK(Acciones!$J933)=TRUE),"En tiempo",IF(AND(Acciones!$H933&lt;TODAY(),Acciones!$J933=""),"Retrasado",IF(Acciones!$J933&gt;Acciones!$H933,"Cerrado con retraso","Cerrado")))))</f>
        <v/>
      </c>
      <c r="L933" s="61"/>
      <c r="M933" s="74"/>
      <c r="T933" s="26"/>
      <c r="U933" s="26"/>
    </row>
    <row r="934" spans="2:21" x14ac:dyDescent="0.3">
      <c r="B934" s="53"/>
      <c r="C934" s="65"/>
      <c r="D934" s="61"/>
      <c r="E934" s="56"/>
      <c r="F934" s="53"/>
      <c r="G934" s="53" t="str">
        <f>IF(ISBLANK(Acciones!$H934)=TRUE," ",WEEKNUM(Acciones!$H934,21))</f>
        <v xml:space="preserve"> </v>
      </c>
      <c r="H934" s="53"/>
      <c r="I934" s="66"/>
      <c r="J934" s="53"/>
      <c r="K934" s="48" t="str">
        <f ca="1">IF(AND(ISBLANK(Acciones!$D934)=FALSE,ISBLANK(Acciones!$H934)=TRUE),"Faltan fechas",IF(Acciones!$H934="","",IF(AND(Acciones!$H934&gt;=TODAY(),ISBLANK(Acciones!$J934)=TRUE),"En tiempo",IF(AND(Acciones!$H934&lt;TODAY(),Acciones!$J934=""),"Retrasado",IF(Acciones!$J934&gt;Acciones!$H934,"Cerrado con retraso","Cerrado")))))</f>
        <v/>
      </c>
      <c r="L934" s="61"/>
      <c r="M934" s="74"/>
      <c r="T934" s="26"/>
      <c r="U934" s="26"/>
    </row>
    <row r="935" spans="2:21" x14ac:dyDescent="0.3">
      <c r="B935" s="53"/>
      <c r="C935" s="65"/>
      <c r="D935" s="61"/>
      <c r="E935" s="56"/>
      <c r="F935" s="53"/>
      <c r="G935" s="53" t="str">
        <f>IF(ISBLANK(Acciones!$H935)=TRUE," ",WEEKNUM(Acciones!$H935,21))</f>
        <v xml:space="preserve"> </v>
      </c>
      <c r="H935" s="53"/>
      <c r="I935" s="66"/>
      <c r="J935" s="53"/>
      <c r="K935" s="48" t="str">
        <f ca="1">IF(AND(ISBLANK(Acciones!$D935)=FALSE,ISBLANK(Acciones!$H935)=TRUE),"Faltan fechas",IF(Acciones!$H935="","",IF(AND(Acciones!$H935&gt;=TODAY(),ISBLANK(Acciones!$J935)=TRUE),"En tiempo",IF(AND(Acciones!$H935&lt;TODAY(),Acciones!$J935=""),"Retrasado",IF(Acciones!$J935&gt;Acciones!$H935,"Cerrado con retraso","Cerrado")))))</f>
        <v/>
      </c>
      <c r="L935" s="61"/>
      <c r="M935" s="74"/>
      <c r="T935" s="26"/>
      <c r="U935" s="26"/>
    </row>
    <row r="936" spans="2:21" x14ac:dyDescent="0.3">
      <c r="B936" s="53"/>
      <c r="C936" s="65"/>
      <c r="D936" s="61"/>
      <c r="E936" s="56"/>
      <c r="F936" s="53"/>
      <c r="G936" s="53" t="str">
        <f>IF(ISBLANK(Acciones!$H936)=TRUE," ",WEEKNUM(Acciones!$H936,21))</f>
        <v xml:space="preserve"> </v>
      </c>
      <c r="H936" s="53"/>
      <c r="I936" s="66"/>
      <c r="J936" s="53"/>
      <c r="K936" s="48" t="str">
        <f ca="1">IF(AND(ISBLANK(Acciones!$D936)=FALSE,ISBLANK(Acciones!$H936)=TRUE),"Faltan fechas",IF(Acciones!$H936="","",IF(AND(Acciones!$H936&gt;=TODAY(),ISBLANK(Acciones!$J936)=TRUE),"En tiempo",IF(AND(Acciones!$H936&lt;TODAY(),Acciones!$J936=""),"Retrasado",IF(Acciones!$J936&gt;Acciones!$H936,"Cerrado con retraso","Cerrado")))))</f>
        <v/>
      </c>
      <c r="L936" s="61"/>
      <c r="M936" s="74"/>
      <c r="T936" s="26"/>
      <c r="U936" s="26"/>
    </row>
    <row r="937" spans="2:21" x14ac:dyDescent="0.3">
      <c r="B937" s="53"/>
      <c r="C937" s="65"/>
      <c r="D937" s="61"/>
      <c r="E937" s="56"/>
      <c r="F937" s="53"/>
      <c r="G937" s="53" t="str">
        <f>IF(ISBLANK(Acciones!$H937)=TRUE," ",WEEKNUM(Acciones!$H937,21))</f>
        <v xml:space="preserve"> </v>
      </c>
      <c r="H937" s="53"/>
      <c r="I937" s="66"/>
      <c r="J937" s="53"/>
      <c r="K937" s="48" t="str">
        <f ca="1">IF(AND(ISBLANK(Acciones!$D937)=FALSE,ISBLANK(Acciones!$H937)=TRUE),"Faltan fechas",IF(Acciones!$H937="","",IF(AND(Acciones!$H937&gt;=TODAY(),ISBLANK(Acciones!$J937)=TRUE),"En tiempo",IF(AND(Acciones!$H937&lt;TODAY(),Acciones!$J937=""),"Retrasado",IF(Acciones!$J937&gt;Acciones!$H937,"Cerrado con retraso","Cerrado")))))</f>
        <v/>
      </c>
      <c r="L937" s="61"/>
      <c r="M937" s="74"/>
      <c r="T937" s="26"/>
      <c r="U937" s="26"/>
    </row>
    <row r="938" spans="2:21" x14ac:dyDescent="0.3">
      <c r="B938" s="53"/>
      <c r="C938" s="65"/>
      <c r="D938" s="61"/>
      <c r="E938" s="56"/>
      <c r="F938" s="53"/>
      <c r="G938" s="53" t="str">
        <f>IF(ISBLANK(Acciones!$H938)=TRUE," ",WEEKNUM(Acciones!$H938,21))</f>
        <v xml:space="preserve"> </v>
      </c>
      <c r="H938" s="53"/>
      <c r="I938" s="66"/>
      <c r="J938" s="53"/>
      <c r="K938" s="48" t="str">
        <f ca="1">IF(AND(ISBLANK(Acciones!$D938)=FALSE,ISBLANK(Acciones!$H938)=TRUE),"Faltan fechas",IF(Acciones!$H938="","",IF(AND(Acciones!$H938&gt;=TODAY(),ISBLANK(Acciones!$J938)=TRUE),"En tiempo",IF(AND(Acciones!$H938&lt;TODAY(),Acciones!$J938=""),"Retrasado",IF(Acciones!$J938&gt;Acciones!$H938,"Cerrado con retraso","Cerrado")))))</f>
        <v/>
      </c>
      <c r="L938" s="61"/>
      <c r="M938" s="74"/>
      <c r="T938" s="26"/>
      <c r="U938" s="26"/>
    </row>
    <row r="939" spans="2:21" x14ac:dyDescent="0.3">
      <c r="B939" s="53"/>
      <c r="C939" s="65"/>
      <c r="D939" s="61"/>
      <c r="E939" s="56"/>
      <c r="F939" s="53"/>
      <c r="G939" s="53" t="str">
        <f>IF(ISBLANK(Acciones!$H939)=TRUE," ",WEEKNUM(Acciones!$H939,21))</f>
        <v xml:space="preserve"> </v>
      </c>
      <c r="H939" s="53"/>
      <c r="I939" s="66"/>
      <c r="J939" s="53"/>
      <c r="K939" s="48" t="str">
        <f ca="1">IF(AND(ISBLANK(Acciones!$D939)=FALSE,ISBLANK(Acciones!$H939)=TRUE),"Faltan fechas",IF(Acciones!$H939="","",IF(AND(Acciones!$H939&gt;=TODAY(),ISBLANK(Acciones!$J939)=TRUE),"En tiempo",IF(AND(Acciones!$H939&lt;TODAY(),Acciones!$J939=""),"Retrasado",IF(Acciones!$J939&gt;Acciones!$H939,"Cerrado con retraso","Cerrado")))))</f>
        <v/>
      </c>
      <c r="L939" s="61"/>
      <c r="M939" s="74"/>
      <c r="T939" s="26"/>
      <c r="U939" s="26"/>
    </row>
    <row r="940" spans="2:21" x14ac:dyDescent="0.3">
      <c r="B940" s="53"/>
      <c r="C940" s="65"/>
      <c r="D940" s="61"/>
      <c r="E940" s="56"/>
      <c r="F940" s="53"/>
      <c r="G940" s="53" t="str">
        <f>IF(ISBLANK(Acciones!$H940)=TRUE," ",WEEKNUM(Acciones!$H940,21))</f>
        <v xml:space="preserve"> </v>
      </c>
      <c r="H940" s="53"/>
      <c r="I940" s="66"/>
      <c r="J940" s="53"/>
      <c r="K940" s="48" t="str">
        <f ca="1">IF(AND(ISBLANK(Acciones!$D940)=FALSE,ISBLANK(Acciones!$H940)=TRUE),"Faltan fechas",IF(Acciones!$H940="","",IF(AND(Acciones!$H940&gt;=TODAY(),ISBLANK(Acciones!$J940)=TRUE),"En tiempo",IF(AND(Acciones!$H940&lt;TODAY(),Acciones!$J940=""),"Retrasado",IF(Acciones!$J940&gt;Acciones!$H940,"Cerrado con retraso","Cerrado")))))</f>
        <v/>
      </c>
      <c r="L940" s="61"/>
      <c r="M940" s="74"/>
      <c r="T940" s="26"/>
      <c r="U940" s="26"/>
    </row>
    <row r="941" spans="2:21" x14ac:dyDescent="0.3">
      <c r="B941" s="53"/>
      <c r="C941" s="65"/>
      <c r="D941" s="61"/>
      <c r="E941" s="56"/>
      <c r="F941" s="53"/>
      <c r="G941" s="53" t="str">
        <f>IF(ISBLANK(Acciones!$H941)=TRUE," ",WEEKNUM(Acciones!$H941,21))</f>
        <v xml:space="preserve"> </v>
      </c>
      <c r="H941" s="53"/>
      <c r="I941" s="66"/>
      <c r="J941" s="53"/>
      <c r="K941" s="48" t="str">
        <f ca="1">IF(AND(ISBLANK(Acciones!$D941)=FALSE,ISBLANK(Acciones!$H941)=TRUE),"Faltan fechas",IF(Acciones!$H941="","",IF(AND(Acciones!$H941&gt;=TODAY(),ISBLANK(Acciones!$J941)=TRUE),"En tiempo",IF(AND(Acciones!$H941&lt;TODAY(),Acciones!$J941=""),"Retrasado",IF(Acciones!$J941&gt;Acciones!$H941,"Cerrado con retraso","Cerrado")))))</f>
        <v/>
      </c>
      <c r="L941" s="61"/>
      <c r="M941" s="74"/>
      <c r="T941" s="26"/>
      <c r="U941" s="26"/>
    </row>
    <row r="942" spans="2:21" x14ac:dyDescent="0.3">
      <c r="B942" s="53"/>
      <c r="C942" s="65"/>
      <c r="D942" s="61"/>
      <c r="E942" s="56"/>
      <c r="F942" s="53"/>
      <c r="G942" s="53" t="str">
        <f>IF(ISBLANK(Acciones!$H942)=TRUE," ",WEEKNUM(Acciones!$H942,21))</f>
        <v xml:space="preserve"> </v>
      </c>
      <c r="H942" s="53"/>
      <c r="I942" s="66"/>
      <c r="J942" s="53"/>
      <c r="K942" s="48" t="str">
        <f ca="1">IF(AND(ISBLANK(Acciones!$D942)=FALSE,ISBLANK(Acciones!$H942)=TRUE),"Faltan fechas",IF(Acciones!$H942="","",IF(AND(Acciones!$H942&gt;=TODAY(),ISBLANK(Acciones!$J942)=TRUE),"En tiempo",IF(AND(Acciones!$H942&lt;TODAY(),Acciones!$J942=""),"Retrasado",IF(Acciones!$J942&gt;Acciones!$H942,"Cerrado con retraso","Cerrado")))))</f>
        <v/>
      </c>
      <c r="L942" s="61"/>
      <c r="M942" s="74"/>
      <c r="T942" s="26"/>
      <c r="U942" s="26"/>
    </row>
    <row r="943" spans="2:21" x14ac:dyDescent="0.3">
      <c r="B943" s="53"/>
      <c r="C943" s="65"/>
      <c r="D943" s="61"/>
      <c r="E943" s="56"/>
      <c r="F943" s="53"/>
      <c r="G943" s="53" t="str">
        <f>IF(ISBLANK(Acciones!$H943)=TRUE," ",WEEKNUM(Acciones!$H943,21))</f>
        <v xml:space="preserve"> </v>
      </c>
      <c r="H943" s="53"/>
      <c r="I943" s="66"/>
      <c r="J943" s="53"/>
      <c r="K943" s="48" t="str">
        <f ca="1">IF(AND(ISBLANK(Acciones!$D943)=FALSE,ISBLANK(Acciones!$H943)=TRUE),"Faltan fechas",IF(Acciones!$H943="","",IF(AND(Acciones!$H943&gt;=TODAY(),ISBLANK(Acciones!$J943)=TRUE),"En tiempo",IF(AND(Acciones!$H943&lt;TODAY(),Acciones!$J943=""),"Retrasado",IF(Acciones!$J943&gt;Acciones!$H943,"Cerrado con retraso","Cerrado")))))</f>
        <v/>
      </c>
      <c r="L943" s="61"/>
      <c r="M943" s="74"/>
      <c r="T943" s="26"/>
      <c r="U943" s="26"/>
    </row>
    <row r="944" spans="2:21" x14ac:dyDescent="0.3">
      <c r="B944" s="53"/>
      <c r="C944" s="65"/>
      <c r="D944" s="61"/>
      <c r="E944" s="56"/>
      <c r="F944" s="53"/>
      <c r="G944" s="53" t="str">
        <f>IF(ISBLANK(Acciones!$H944)=TRUE," ",WEEKNUM(Acciones!$H944,21))</f>
        <v xml:space="preserve"> </v>
      </c>
      <c r="H944" s="53"/>
      <c r="I944" s="66"/>
      <c r="J944" s="53"/>
      <c r="K944" s="48" t="str">
        <f ca="1">IF(AND(ISBLANK(Acciones!$D944)=FALSE,ISBLANK(Acciones!$H944)=TRUE),"Faltan fechas",IF(Acciones!$H944="","",IF(AND(Acciones!$H944&gt;=TODAY(),ISBLANK(Acciones!$J944)=TRUE),"En tiempo",IF(AND(Acciones!$H944&lt;TODAY(),Acciones!$J944=""),"Retrasado",IF(Acciones!$J944&gt;Acciones!$H944,"Cerrado con retraso","Cerrado")))))</f>
        <v/>
      </c>
      <c r="L944" s="61"/>
      <c r="M944" s="74"/>
      <c r="T944" s="26"/>
      <c r="U944" s="26"/>
    </row>
    <row r="945" spans="2:21" x14ac:dyDescent="0.3">
      <c r="B945" s="53"/>
      <c r="C945" s="65"/>
      <c r="D945" s="61"/>
      <c r="E945" s="56"/>
      <c r="F945" s="53"/>
      <c r="G945" s="53" t="str">
        <f>IF(ISBLANK(Acciones!$H945)=TRUE," ",WEEKNUM(Acciones!$H945,21))</f>
        <v xml:space="preserve"> </v>
      </c>
      <c r="H945" s="53"/>
      <c r="I945" s="66"/>
      <c r="J945" s="53"/>
      <c r="K945" s="48" t="str">
        <f ca="1">IF(AND(ISBLANK(Acciones!$D945)=FALSE,ISBLANK(Acciones!$H945)=TRUE),"Faltan fechas",IF(Acciones!$H945="","",IF(AND(Acciones!$H945&gt;=TODAY(),ISBLANK(Acciones!$J945)=TRUE),"En tiempo",IF(AND(Acciones!$H945&lt;TODAY(),Acciones!$J945=""),"Retrasado",IF(Acciones!$J945&gt;Acciones!$H945,"Cerrado con retraso","Cerrado")))))</f>
        <v/>
      </c>
      <c r="L945" s="61"/>
      <c r="M945" s="74"/>
      <c r="T945" s="26"/>
      <c r="U945" s="26"/>
    </row>
    <row r="946" spans="2:21" x14ac:dyDescent="0.3">
      <c r="B946" s="53"/>
      <c r="C946" s="65"/>
      <c r="D946" s="61"/>
      <c r="E946" s="56"/>
      <c r="F946" s="53"/>
      <c r="G946" s="53" t="str">
        <f>IF(ISBLANK(Acciones!$H946)=TRUE," ",WEEKNUM(Acciones!$H946,21))</f>
        <v xml:space="preserve"> </v>
      </c>
      <c r="H946" s="53"/>
      <c r="I946" s="66"/>
      <c r="J946" s="53"/>
      <c r="K946" s="48" t="str">
        <f ca="1">IF(AND(ISBLANK(Acciones!$D946)=FALSE,ISBLANK(Acciones!$H946)=TRUE),"Faltan fechas",IF(Acciones!$H946="","",IF(AND(Acciones!$H946&gt;=TODAY(),ISBLANK(Acciones!$J946)=TRUE),"En tiempo",IF(AND(Acciones!$H946&lt;TODAY(),Acciones!$J946=""),"Retrasado",IF(Acciones!$J946&gt;Acciones!$H946,"Cerrado con retraso","Cerrado")))))</f>
        <v/>
      </c>
      <c r="L946" s="61"/>
      <c r="M946" s="74"/>
      <c r="T946" s="26"/>
      <c r="U946" s="26"/>
    </row>
    <row r="947" spans="2:21" x14ac:dyDescent="0.3">
      <c r="B947" s="53"/>
      <c r="C947" s="65"/>
      <c r="D947" s="61"/>
      <c r="E947" s="56"/>
      <c r="F947" s="53"/>
      <c r="G947" s="53" t="str">
        <f>IF(ISBLANK(Acciones!$H947)=TRUE," ",WEEKNUM(Acciones!$H947,21))</f>
        <v xml:space="preserve"> </v>
      </c>
      <c r="H947" s="53"/>
      <c r="I947" s="66"/>
      <c r="J947" s="53"/>
      <c r="K947" s="48" t="str">
        <f ca="1">IF(AND(ISBLANK(Acciones!$D947)=FALSE,ISBLANK(Acciones!$H947)=TRUE),"Faltan fechas",IF(Acciones!$H947="","",IF(AND(Acciones!$H947&gt;=TODAY(),ISBLANK(Acciones!$J947)=TRUE),"En tiempo",IF(AND(Acciones!$H947&lt;TODAY(),Acciones!$J947=""),"Retrasado",IF(Acciones!$J947&gt;Acciones!$H947,"Cerrado con retraso","Cerrado")))))</f>
        <v/>
      </c>
      <c r="L947" s="61"/>
      <c r="M947" s="74"/>
    </row>
    <row r="948" spans="2:21" x14ac:dyDescent="0.3">
      <c r="B948" s="53"/>
      <c r="C948" s="65"/>
      <c r="D948" s="61"/>
      <c r="E948" s="56"/>
      <c r="F948" s="53"/>
      <c r="G948" s="53" t="str">
        <f>IF(ISBLANK(Acciones!$H948)=TRUE," ",WEEKNUM(Acciones!$H948,21))</f>
        <v xml:space="preserve"> </v>
      </c>
      <c r="H948" s="53"/>
      <c r="I948" s="66"/>
      <c r="J948" s="53"/>
      <c r="K948" s="48" t="str">
        <f ca="1">IF(AND(ISBLANK(Acciones!$D948)=FALSE,ISBLANK(Acciones!$H948)=TRUE),"Faltan fechas",IF(Acciones!$H948="","",IF(AND(Acciones!$H948&gt;=TODAY(),ISBLANK(Acciones!$J948)=TRUE),"En tiempo",IF(AND(Acciones!$H948&lt;TODAY(),Acciones!$J948=""),"Retrasado",IF(Acciones!$J948&gt;Acciones!$H948,"Cerrado con retraso","Cerrado")))))</f>
        <v/>
      </c>
      <c r="L948" s="61"/>
      <c r="M948" s="74"/>
    </row>
    <row r="949" spans="2:21" x14ac:dyDescent="0.3">
      <c r="B949" s="53"/>
      <c r="C949" s="65"/>
      <c r="D949" s="61"/>
      <c r="E949" s="56"/>
      <c r="F949" s="53"/>
      <c r="G949" s="53" t="str">
        <f>IF(ISBLANK(Acciones!$H949)=TRUE," ",WEEKNUM(Acciones!$H949,21))</f>
        <v xml:space="preserve"> </v>
      </c>
      <c r="H949" s="53"/>
      <c r="I949" s="66"/>
      <c r="J949" s="53"/>
      <c r="K949" s="48" t="str">
        <f ca="1">IF(AND(ISBLANK(Acciones!$D949)=FALSE,ISBLANK(Acciones!$H949)=TRUE),"Faltan fechas",IF(Acciones!$H949="","",IF(AND(Acciones!$H949&gt;=TODAY(),ISBLANK(Acciones!$J949)=TRUE),"En tiempo",IF(AND(Acciones!$H949&lt;TODAY(),Acciones!$J949=""),"Retrasado",IF(Acciones!$J949&gt;Acciones!$H949,"Cerrado con retraso","Cerrado")))))</f>
        <v/>
      </c>
      <c r="L949" s="61"/>
      <c r="M949" s="74"/>
    </row>
    <row r="950" spans="2:21" x14ac:dyDescent="0.3">
      <c r="B950" s="53"/>
      <c r="C950" s="65"/>
      <c r="D950" s="61"/>
      <c r="E950" s="56"/>
      <c r="F950" s="53"/>
      <c r="G950" s="53" t="str">
        <f>IF(ISBLANK(Acciones!$H950)=TRUE," ",WEEKNUM(Acciones!$H950,21))</f>
        <v xml:space="preserve"> </v>
      </c>
      <c r="H950" s="53"/>
      <c r="I950" s="66"/>
      <c r="J950" s="53"/>
      <c r="K950" s="48" t="str">
        <f ca="1">IF(AND(ISBLANK(Acciones!$D950)=FALSE,ISBLANK(Acciones!$H950)=TRUE),"Faltan fechas",IF(Acciones!$H950="","",IF(AND(Acciones!$H950&gt;=TODAY(),ISBLANK(Acciones!$J950)=TRUE),"En tiempo",IF(AND(Acciones!$H950&lt;TODAY(),Acciones!$J950=""),"Retrasado",IF(Acciones!$J950&gt;Acciones!$H950,"Cerrado con retraso","Cerrado")))))</f>
        <v/>
      </c>
      <c r="L950" s="61"/>
      <c r="M950" s="74"/>
    </row>
    <row r="951" spans="2:21" x14ac:dyDescent="0.3">
      <c r="B951" s="53"/>
      <c r="C951" s="65"/>
      <c r="D951" s="61"/>
      <c r="E951" s="56"/>
      <c r="F951" s="53"/>
      <c r="G951" s="53" t="str">
        <f>IF(ISBLANK(Acciones!$H951)=TRUE," ",WEEKNUM(Acciones!$H951,21))</f>
        <v xml:space="preserve"> </v>
      </c>
      <c r="H951" s="53"/>
      <c r="I951" s="66"/>
      <c r="J951" s="53"/>
      <c r="K951" s="48" t="str">
        <f ca="1">IF(AND(ISBLANK(Acciones!$D951)=FALSE,ISBLANK(Acciones!$H951)=TRUE),"Faltan fechas",IF(Acciones!$H951="","",IF(AND(Acciones!$H951&gt;=TODAY(),ISBLANK(Acciones!$J951)=TRUE),"En tiempo",IF(AND(Acciones!$H951&lt;TODAY(),Acciones!$J951=""),"Retrasado",IF(Acciones!$J951&gt;Acciones!$H951,"Cerrado con retraso","Cerrado")))))</f>
        <v/>
      </c>
      <c r="L951" s="61"/>
      <c r="M951" s="74"/>
    </row>
    <row r="952" spans="2:21" x14ac:dyDescent="0.3">
      <c r="B952" s="53"/>
      <c r="C952" s="65"/>
      <c r="D952" s="61"/>
      <c r="E952" s="56"/>
      <c r="F952" s="53"/>
      <c r="G952" s="53" t="str">
        <f>IF(ISBLANK(Acciones!$H952)=TRUE," ",WEEKNUM(Acciones!$H952,21))</f>
        <v xml:space="preserve"> </v>
      </c>
      <c r="H952" s="53"/>
      <c r="I952" s="66"/>
      <c r="J952" s="53"/>
      <c r="K952" s="48" t="str">
        <f ca="1">IF(AND(ISBLANK(Acciones!$D952)=FALSE,ISBLANK(Acciones!$H952)=TRUE),"Faltan fechas",IF(Acciones!$H952="","",IF(AND(Acciones!$H952&gt;=TODAY(),ISBLANK(Acciones!$J952)=TRUE),"En tiempo",IF(AND(Acciones!$H952&lt;TODAY(),Acciones!$J952=""),"Retrasado",IF(Acciones!$J952&gt;Acciones!$H952,"Cerrado con retraso","Cerrado")))))</f>
        <v/>
      </c>
      <c r="L952" s="61"/>
      <c r="M952" s="74"/>
    </row>
    <row r="953" spans="2:21" x14ac:dyDescent="0.3">
      <c r="B953" s="53"/>
      <c r="C953" s="65"/>
      <c r="D953" s="61"/>
      <c r="E953" s="56"/>
      <c r="F953" s="53"/>
      <c r="G953" s="53" t="str">
        <f>IF(ISBLANK(Acciones!$H953)=TRUE," ",WEEKNUM(Acciones!$H953,21))</f>
        <v xml:space="preserve"> </v>
      </c>
      <c r="H953" s="53"/>
      <c r="I953" s="66"/>
      <c r="J953" s="53"/>
      <c r="K953" s="48" t="str">
        <f ca="1">IF(AND(ISBLANK(Acciones!$D953)=FALSE,ISBLANK(Acciones!$H953)=TRUE),"Faltan fechas",IF(Acciones!$H953="","",IF(AND(Acciones!$H953&gt;=TODAY(),ISBLANK(Acciones!$J953)=TRUE),"En tiempo",IF(AND(Acciones!$H953&lt;TODAY(),Acciones!$J953=""),"Retrasado",IF(Acciones!$J953&gt;Acciones!$H953,"Cerrado con retraso","Cerrado")))))</f>
        <v/>
      </c>
      <c r="L953" s="61"/>
      <c r="M953" s="74"/>
    </row>
    <row r="954" spans="2:21" x14ac:dyDescent="0.3">
      <c r="B954" s="53"/>
      <c r="C954" s="65"/>
      <c r="D954" s="61"/>
      <c r="E954" s="56"/>
      <c r="F954" s="53"/>
      <c r="G954" s="53" t="str">
        <f>IF(ISBLANK(Acciones!$H954)=TRUE," ",WEEKNUM(Acciones!$H954,21))</f>
        <v xml:space="preserve"> </v>
      </c>
      <c r="H954" s="53"/>
      <c r="I954" s="66"/>
      <c r="J954" s="53"/>
      <c r="K954" s="48" t="str">
        <f ca="1">IF(AND(ISBLANK(Acciones!$D954)=FALSE,ISBLANK(Acciones!$H954)=TRUE),"Faltan fechas",IF(Acciones!$H954="","",IF(AND(Acciones!$H954&gt;=TODAY(),ISBLANK(Acciones!$J954)=TRUE),"En tiempo",IF(AND(Acciones!$H954&lt;TODAY(),Acciones!$J954=""),"Retrasado",IF(Acciones!$J954&gt;Acciones!$H954,"Cerrado con retraso","Cerrado")))))</f>
        <v/>
      </c>
      <c r="L954" s="61"/>
      <c r="M954" s="74"/>
    </row>
    <row r="955" spans="2:21" x14ac:dyDescent="0.3">
      <c r="B955" s="53"/>
      <c r="C955" s="65"/>
      <c r="D955" s="61"/>
      <c r="E955" s="56"/>
      <c r="F955" s="53"/>
      <c r="G955" s="53" t="str">
        <f>IF(ISBLANK(Acciones!$H955)=TRUE," ",WEEKNUM(Acciones!$H955,21))</f>
        <v xml:space="preserve"> </v>
      </c>
      <c r="H955" s="53"/>
      <c r="I955" s="66"/>
      <c r="J955" s="53"/>
      <c r="K955" s="48" t="str">
        <f ca="1">IF(AND(ISBLANK(Acciones!$D955)=FALSE,ISBLANK(Acciones!$H955)=TRUE),"Faltan fechas",IF(Acciones!$H955="","",IF(AND(Acciones!$H955&gt;=TODAY(),ISBLANK(Acciones!$J955)=TRUE),"En tiempo",IF(AND(Acciones!$H955&lt;TODAY(),Acciones!$J955=""),"Retrasado",IF(Acciones!$J955&gt;Acciones!$H955,"Cerrado con retraso","Cerrado")))))</f>
        <v/>
      </c>
      <c r="L955" s="61"/>
      <c r="M955" s="74"/>
    </row>
    <row r="956" spans="2:21" x14ac:dyDescent="0.3">
      <c r="B956" s="53"/>
      <c r="C956" s="65"/>
      <c r="D956" s="61"/>
      <c r="E956" s="56"/>
      <c r="F956" s="53"/>
      <c r="G956" s="53" t="str">
        <f>IF(ISBLANK(Acciones!$H956)=TRUE," ",WEEKNUM(Acciones!$H956,21))</f>
        <v xml:space="preserve"> </v>
      </c>
      <c r="H956" s="53"/>
      <c r="I956" s="66"/>
      <c r="J956" s="53"/>
      <c r="K956" s="48" t="str">
        <f ca="1">IF(AND(ISBLANK(Acciones!$D956)=FALSE,ISBLANK(Acciones!$H956)=TRUE),"Faltan fechas",IF(Acciones!$H956="","",IF(AND(Acciones!$H956&gt;=TODAY(),ISBLANK(Acciones!$J956)=TRUE),"En tiempo",IF(AND(Acciones!$H956&lt;TODAY(),Acciones!$J956=""),"Retrasado",IF(Acciones!$J956&gt;Acciones!$H956,"Cerrado con retraso","Cerrado")))))</f>
        <v/>
      </c>
      <c r="L956" s="61"/>
      <c r="M956" s="74"/>
    </row>
    <row r="957" spans="2:21" x14ac:dyDescent="0.3">
      <c r="B957" s="53"/>
      <c r="C957" s="65"/>
      <c r="D957" s="61"/>
      <c r="E957" s="56"/>
      <c r="F957" s="53"/>
      <c r="G957" s="53" t="str">
        <f>IF(ISBLANK(Acciones!$H957)=TRUE," ",WEEKNUM(Acciones!$H957,21))</f>
        <v xml:space="preserve"> </v>
      </c>
      <c r="H957" s="53"/>
      <c r="I957" s="66"/>
      <c r="J957" s="53"/>
      <c r="K957" s="48" t="str">
        <f ca="1">IF(AND(ISBLANK(Acciones!$D957)=FALSE,ISBLANK(Acciones!$H957)=TRUE),"Faltan fechas",IF(Acciones!$H957="","",IF(AND(Acciones!$H957&gt;=TODAY(),ISBLANK(Acciones!$J957)=TRUE),"En tiempo",IF(AND(Acciones!$H957&lt;TODAY(),Acciones!$J957=""),"Retrasado",IF(Acciones!$J957&gt;Acciones!$H957,"Cerrado con retraso","Cerrado")))))</f>
        <v/>
      </c>
      <c r="L957" s="61"/>
      <c r="M957" s="74"/>
    </row>
    <row r="958" spans="2:21" x14ac:dyDescent="0.3">
      <c r="B958" s="53"/>
      <c r="C958" s="65"/>
      <c r="D958" s="61"/>
      <c r="E958" s="56"/>
      <c r="F958" s="53"/>
      <c r="G958" s="53" t="str">
        <f>IF(ISBLANK(Acciones!$H958)=TRUE," ",WEEKNUM(Acciones!$H958,21))</f>
        <v xml:space="preserve"> </v>
      </c>
      <c r="H958" s="53"/>
      <c r="I958" s="66"/>
      <c r="J958" s="53"/>
      <c r="K958" s="48" t="str">
        <f ca="1">IF(AND(ISBLANK(Acciones!$D958)=FALSE,ISBLANK(Acciones!$H958)=TRUE),"Faltan fechas",IF(Acciones!$H958="","",IF(AND(Acciones!$H958&gt;=TODAY(),ISBLANK(Acciones!$J958)=TRUE),"En tiempo",IF(AND(Acciones!$H958&lt;TODAY(),Acciones!$J958=""),"Retrasado",IF(Acciones!$J958&gt;Acciones!$H958,"Cerrado con retraso","Cerrado")))))</f>
        <v/>
      </c>
      <c r="L958" s="61"/>
      <c r="M958" s="74"/>
    </row>
    <row r="959" spans="2:21" x14ac:dyDescent="0.3">
      <c r="B959" s="53"/>
      <c r="C959" s="65"/>
      <c r="D959" s="61"/>
      <c r="E959" s="56"/>
      <c r="F959" s="53"/>
      <c r="G959" s="53" t="str">
        <f>IF(ISBLANK(Acciones!$H959)=TRUE," ",WEEKNUM(Acciones!$H959,21))</f>
        <v xml:space="preserve"> </v>
      </c>
      <c r="H959" s="53"/>
      <c r="I959" s="66"/>
      <c r="J959" s="53"/>
      <c r="K959" s="48" t="str">
        <f ca="1">IF(AND(ISBLANK(Acciones!$D959)=FALSE,ISBLANK(Acciones!$H959)=TRUE),"Faltan fechas",IF(Acciones!$H959="","",IF(AND(Acciones!$H959&gt;=TODAY(),ISBLANK(Acciones!$J959)=TRUE),"En tiempo",IF(AND(Acciones!$H959&lt;TODAY(),Acciones!$J959=""),"Retrasado",IF(Acciones!$J959&gt;Acciones!$H959,"Cerrado con retraso","Cerrado")))))</f>
        <v/>
      </c>
      <c r="L959" s="61"/>
      <c r="M959" s="74"/>
    </row>
    <row r="960" spans="2:21" x14ac:dyDescent="0.3">
      <c r="B960" s="53"/>
      <c r="C960" s="65"/>
      <c r="D960" s="61"/>
      <c r="E960" s="56"/>
      <c r="F960" s="53"/>
      <c r="G960" s="53" t="str">
        <f>IF(ISBLANK(Acciones!$H960)=TRUE," ",WEEKNUM(Acciones!$H960,21))</f>
        <v xml:space="preserve"> </v>
      </c>
      <c r="H960" s="53"/>
      <c r="I960" s="66"/>
      <c r="J960" s="53"/>
      <c r="K960" s="48" t="str">
        <f ca="1">IF(AND(ISBLANK(Acciones!$D960)=FALSE,ISBLANK(Acciones!$H960)=TRUE),"Faltan fechas",IF(Acciones!$H960="","",IF(AND(Acciones!$H960&gt;=TODAY(),ISBLANK(Acciones!$J960)=TRUE),"En tiempo",IF(AND(Acciones!$H960&lt;TODAY(),Acciones!$J960=""),"Retrasado",IF(Acciones!$J960&gt;Acciones!$H960,"Cerrado con retraso","Cerrado")))))</f>
        <v/>
      </c>
      <c r="L960" s="61"/>
      <c r="M960" s="74"/>
    </row>
    <row r="961" spans="2:13" x14ac:dyDescent="0.3">
      <c r="B961" s="53"/>
      <c r="C961" s="65"/>
      <c r="D961" s="61"/>
      <c r="E961" s="56"/>
      <c r="F961" s="53"/>
      <c r="G961" s="53" t="str">
        <f>IF(ISBLANK(Acciones!$H961)=TRUE," ",WEEKNUM(Acciones!$H961,21))</f>
        <v xml:space="preserve"> </v>
      </c>
      <c r="H961" s="53"/>
      <c r="I961" s="66"/>
      <c r="J961" s="53"/>
      <c r="K961" s="48" t="str">
        <f ca="1">IF(AND(ISBLANK(Acciones!$D961)=FALSE,ISBLANK(Acciones!$H961)=TRUE),"Faltan fechas",IF(Acciones!$H961="","",IF(AND(Acciones!$H961&gt;=TODAY(),ISBLANK(Acciones!$J961)=TRUE),"En tiempo",IF(AND(Acciones!$H961&lt;TODAY(),Acciones!$J961=""),"Retrasado",IF(Acciones!$J961&gt;Acciones!$H961,"Cerrado con retraso","Cerrado")))))</f>
        <v/>
      </c>
      <c r="L961" s="61"/>
      <c r="M961" s="74"/>
    </row>
    <row r="962" spans="2:13" x14ac:dyDescent="0.3">
      <c r="B962" s="53"/>
      <c r="C962" s="65"/>
      <c r="D962" s="61"/>
      <c r="E962" s="56"/>
      <c r="F962" s="53"/>
      <c r="G962" s="53" t="str">
        <f>IF(ISBLANK(Acciones!$H962)=TRUE," ",WEEKNUM(Acciones!$H962,21))</f>
        <v xml:space="preserve"> </v>
      </c>
      <c r="H962" s="53"/>
      <c r="I962" s="66"/>
      <c r="J962" s="53"/>
      <c r="K962" s="48" t="str">
        <f ca="1">IF(AND(ISBLANK(Acciones!$D962)=FALSE,ISBLANK(Acciones!$H962)=TRUE),"Faltan fechas",IF(Acciones!$H962="","",IF(AND(Acciones!$H962&gt;=TODAY(),ISBLANK(Acciones!$J962)=TRUE),"En tiempo",IF(AND(Acciones!$H962&lt;TODAY(),Acciones!$J962=""),"Retrasado",IF(Acciones!$J962&gt;Acciones!$H962,"Cerrado con retraso","Cerrado")))))</f>
        <v/>
      </c>
      <c r="L962" s="61"/>
      <c r="M962" s="74"/>
    </row>
    <row r="963" spans="2:13" x14ac:dyDescent="0.3">
      <c r="B963" s="53"/>
      <c r="C963" s="65"/>
      <c r="D963" s="61"/>
      <c r="E963" s="56"/>
      <c r="F963" s="53"/>
      <c r="G963" s="53" t="str">
        <f>IF(ISBLANK(Acciones!$H963)=TRUE," ",WEEKNUM(Acciones!$H963,21))</f>
        <v xml:space="preserve"> </v>
      </c>
      <c r="H963" s="53"/>
      <c r="I963" s="66"/>
      <c r="J963" s="53"/>
      <c r="K963" s="48" t="str">
        <f ca="1">IF(AND(ISBLANK(Acciones!$D963)=FALSE,ISBLANK(Acciones!$H963)=TRUE),"Faltan fechas",IF(Acciones!$H963="","",IF(AND(Acciones!$H963&gt;=TODAY(),ISBLANK(Acciones!$J963)=TRUE),"En tiempo",IF(AND(Acciones!$H963&lt;TODAY(),Acciones!$J963=""),"Retrasado",IF(Acciones!$J963&gt;Acciones!$H963,"Cerrado con retraso","Cerrado")))))</f>
        <v/>
      </c>
      <c r="L963" s="61"/>
      <c r="M963" s="74"/>
    </row>
    <row r="964" spans="2:13" x14ac:dyDescent="0.3">
      <c r="B964" s="53"/>
      <c r="C964" s="65"/>
      <c r="D964" s="61"/>
      <c r="E964" s="56"/>
      <c r="F964" s="53"/>
      <c r="G964" s="53" t="str">
        <f>IF(ISBLANK(Acciones!$H964)=TRUE," ",WEEKNUM(Acciones!$H964,21))</f>
        <v xml:space="preserve"> </v>
      </c>
      <c r="H964" s="53"/>
      <c r="I964" s="66"/>
      <c r="J964" s="53"/>
      <c r="K964" s="48" t="str">
        <f ca="1">IF(AND(ISBLANK(Acciones!$D964)=FALSE,ISBLANK(Acciones!$H964)=TRUE),"Faltan fechas",IF(Acciones!$H964="","",IF(AND(Acciones!$H964&gt;=TODAY(),ISBLANK(Acciones!$J964)=TRUE),"En tiempo",IF(AND(Acciones!$H964&lt;TODAY(),Acciones!$J964=""),"Retrasado",IF(Acciones!$J964&gt;Acciones!$H964,"Cerrado con retraso","Cerrado")))))</f>
        <v/>
      </c>
      <c r="L964" s="61"/>
      <c r="M964" s="74"/>
    </row>
    <row r="965" spans="2:13" x14ac:dyDescent="0.3">
      <c r="B965" s="53"/>
      <c r="C965" s="65"/>
      <c r="D965" s="61"/>
      <c r="E965" s="56"/>
      <c r="F965" s="53"/>
      <c r="G965" s="53" t="str">
        <f>IF(ISBLANK(Acciones!$H965)=TRUE," ",WEEKNUM(Acciones!$H965,21))</f>
        <v xml:space="preserve"> </v>
      </c>
      <c r="H965" s="53"/>
      <c r="I965" s="66"/>
      <c r="J965" s="53"/>
      <c r="K965" s="48" t="str">
        <f ca="1">IF(AND(ISBLANK(Acciones!$D965)=FALSE,ISBLANK(Acciones!$H965)=TRUE),"Faltan fechas",IF(Acciones!$H965="","",IF(AND(Acciones!$H965&gt;=TODAY(),ISBLANK(Acciones!$J965)=TRUE),"En tiempo",IF(AND(Acciones!$H965&lt;TODAY(),Acciones!$J965=""),"Retrasado",IF(Acciones!$J965&gt;Acciones!$H965,"Cerrado con retraso","Cerrado")))))</f>
        <v/>
      </c>
      <c r="L965" s="61"/>
      <c r="M965" s="74"/>
    </row>
    <row r="966" spans="2:13" x14ac:dyDescent="0.3">
      <c r="B966" s="53"/>
      <c r="C966" s="65"/>
      <c r="D966" s="61"/>
      <c r="E966" s="56"/>
      <c r="F966" s="53"/>
      <c r="G966" s="53" t="str">
        <f>IF(ISBLANK(Acciones!$H966)=TRUE," ",WEEKNUM(Acciones!$H966,21))</f>
        <v xml:space="preserve"> </v>
      </c>
      <c r="H966" s="53"/>
      <c r="I966" s="66"/>
      <c r="J966" s="53"/>
      <c r="K966" s="48" t="str">
        <f ca="1">IF(AND(ISBLANK(Acciones!$D966)=FALSE,ISBLANK(Acciones!$H966)=TRUE),"Faltan fechas",IF(Acciones!$H966="","",IF(AND(Acciones!$H966&gt;=TODAY(),ISBLANK(Acciones!$J966)=TRUE),"En tiempo",IF(AND(Acciones!$H966&lt;TODAY(),Acciones!$J966=""),"Retrasado",IF(Acciones!$J966&gt;Acciones!$H966,"Cerrado con retraso","Cerrado")))))</f>
        <v/>
      </c>
      <c r="L966" s="61"/>
      <c r="M966" s="74"/>
    </row>
    <row r="967" spans="2:13" x14ac:dyDescent="0.3">
      <c r="B967" s="53"/>
      <c r="C967" s="65"/>
      <c r="D967" s="61"/>
      <c r="E967" s="56"/>
      <c r="F967" s="53"/>
      <c r="G967" s="53" t="str">
        <f>IF(ISBLANK(Acciones!$H967)=TRUE," ",WEEKNUM(Acciones!$H967,21))</f>
        <v xml:space="preserve"> </v>
      </c>
      <c r="H967" s="53"/>
      <c r="I967" s="66"/>
      <c r="J967" s="53"/>
      <c r="K967" s="48" t="str">
        <f ca="1">IF(AND(ISBLANK(Acciones!$D967)=FALSE,ISBLANK(Acciones!$H967)=TRUE),"Faltan fechas",IF(Acciones!$H967="","",IF(AND(Acciones!$H967&gt;=TODAY(),ISBLANK(Acciones!$J967)=TRUE),"En tiempo",IF(AND(Acciones!$H967&lt;TODAY(),Acciones!$J967=""),"Retrasado",IF(Acciones!$J967&gt;Acciones!$H967,"Cerrado con retraso","Cerrado")))))</f>
        <v/>
      </c>
      <c r="L967" s="61"/>
      <c r="M967" s="74"/>
    </row>
    <row r="968" spans="2:13" x14ac:dyDescent="0.3">
      <c r="B968" s="53"/>
      <c r="C968" s="65"/>
      <c r="D968" s="61"/>
      <c r="E968" s="56"/>
      <c r="F968" s="53"/>
      <c r="G968" s="53" t="str">
        <f>IF(ISBLANK(Acciones!$H968)=TRUE," ",WEEKNUM(Acciones!$H968,21))</f>
        <v xml:space="preserve"> </v>
      </c>
      <c r="H968" s="53"/>
      <c r="I968" s="66"/>
      <c r="J968" s="53"/>
      <c r="K968" s="48" t="str">
        <f ca="1">IF(AND(ISBLANK(Acciones!$D968)=FALSE,ISBLANK(Acciones!$H968)=TRUE),"Faltan fechas",IF(Acciones!$H968="","",IF(AND(Acciones!$H968&gt;=TODAY(),ISBLANK(Acciones!$J968)=TRUE),"En tiempo",IF(AND(Acciones!$H968&lt;TODAY(),Acciones!$J968=""),"Retrasado",IF(Acciones!$J968&gt;Acciones!$H968,"Cerrado con retraso","Cerrado")))))</f>
        <v/>
      </c>
      <c r="L968" s="61"/>
      <c r="M968" s="74"/>
    </row>
    <row r="969" spans="2:13" x14ac:dyDescent="0.3">
      <c r="B969" s="53"/>
      <c r="C969" s="65"/>
      <c r="D969" s="61"/>
      <c r="E969" s="56"/>
      <c r="F969" s="53"/>
      <c r="G969" s="53" t="str">
        <f>IF(ISBLANK(Acciones!$H969)=TRUE," ",WEEKNUM(Acciones!$H969,21))</f>
        <v xml:space="preserve"> </v>
      </c>
      <c r="H969" s="53"/>
      <c r="I969" s="66"/>
      <c r="J969" s="53"/>
      <c r="K969" s="48" t="str">
        <f ca="1">IF(AND(ISBLANK(Acciones!$D969)=FALSE,ISBLANK(Acciones!$H969)=TRUE),"Faltan fechas",IF(Acciones!$H969="","",IF(AND(Acciones!$H969&gt;=TODAY(),ISBLANK(Acciones!$J969)=TRUE),"En tiempo",IF(AND(Acciones!$H969&lt;TODAY(),Acciones!$J969=""),"Retrasado",IF(Acciones!$J969&gt;Acciones!$H969,"Cerrado con retraso","Cerrado")))))</f>
        <v/>
      </c>
      <c r="L969" s="61"/>
      <c r="M969" s="74"/>
    </row>
    <row r="970" spans="2:13" x14ac:dyDescent="0.3">
      <c r="B970" s="53"/>
      <c r="C970" s="65"/>
      <c r="D970" s="61"/>
      <c r="E970" s="56"/>
      <c r="F970" s="53"/>
      <c r="G970" s="53" t="str">
        <f>IF(ISBLANK(Acciones!$H970)=TRUE," ",WEEKNUM(Acciones!$H970,21))</f>
        <v xml:space="preserve"> </v>
      </c>
      <c r="H970" s="53"/>
      <c r="I970" s="66"/>
      <c r="J970" s="53"/>
      <c r="K970" s="48" t="str">
        <f ca="1">IF(AND(ISBLANK(Acciones!$D970)=FALSE,ISBLANK(Acciones!$H970)=TRUE),"Faltan fechas",IF(Acciones!$H970="","",IF(AND(Acciones!$H970&gt;=TODAY(),ISBLANK(Acciones!$J970)=TRUE),"En tiempo",IF(AND(Acciones!$H970&lt;TODAY(),Acciones!$J970=""),"Retrasado",IF(Acciones!$J970&gt;Acciones!$H970,"Cerrado con retraso","Cerrado")))))</f>
        <v/>
      </c>
      <c r="L970" s="61"/>
      <c r="M970" s="74"/>
    </row>
    <row r="971" spans="2:13" x14ac:dyDescent="0.3">
      <c r="B971" s="53"/>
      <c r="C971" s="65"/>
      <c r="D971" s="61"/>
      <c r="E971" s="56"/>
      <c r="F971" s="53"/>
      <c r="G971" s="53" t="str">
        <f>IF(ISBLANK(Acciones!$H971)=TRUE," ",WEEKNUM(Acciones!$H971,21))</f>
        <v xml:space="preserve"> </v>
      </c>
      <c r="H971" s="53"/>
      <c r="I971" s="66"/>
      <c r="J971" s="53"/>
      <c r="K971" s="48" t="str">
        <f ca="1">IF(AND(ISBLANK(Acciones!$D971)=FALSE,ISBLANK(Acciones!$H971)=TRUE),"Faltan fechas",IF(Acciones!$H971="","",IF(AND(Acciones!$H971&gt;=TODAY(),ISBLANK(Acciones!$J971)=TRUE),"En tiempo",IF(AND(Acciones!$H971&lt;TODAY(),Acciones!$J971=""),"Retrasado",IF(Acciones!$J971&gt;Acciones!$H971,"Cerrado con retraso","Cerrado")))))</f>
        <v/>
      </c>
      <c r="L971" s="61"/>
      <c r="M971" s="74"/>
    </row>
    <row r="972" spans="2:13" x14ac:dyDescent="0.3">
      <c r="B972" s="53"/>
      <c r="C972" s="65"/>
      <c r="D972" s="61"/>
      <c r="E972" s="56"/>
      <c r="F972" s="53"/>
      <c r="G972" s="53" t="str">
        <f>IF(ISBLANK(Acciones!$H972)=TRUE," ",WEEKNUM(Acciones!$H972,21))</f>
        <v xml:space="preserve"> </v>
      </c>
      <c r="H972" s="53"/>
      <c r="I972" s="66"/>
      <c r="J972" s="53"/>
      <c r="K972" s="48" t="str">
        <f ca="1">IF(AND(ISBLANK(Acciones!$D972)=FALSE,ISBLANK(Acciones!$H972)=TRUE),"Faltan fechas",IF(Acciones!$H972="","",IF(AND(Acciones!$H972&gt;=TODAY(),ISBLANK(Acciones!$J972)=TRUE),"En tiempo",IF(AND(Acciones!$H972&lt;TODAY(),Acciones!$J972=""),"Retrasado",IF(Acciones!$J972&gt;Acciones!$H972,"Cerrado con retraso","Cerrado")))))</f>
        <v/>
      </c>
      <c r="L972" s="61"/>
      <c r="M972" s="74"/>
    </row>
    <row r="973" spans="2:13" x14ac:dyDescent="0.3">
      <c r="B973" s="53"/>
      <c r="C973" s="65"/>
      <c r="D973" s="61"/>
      <c r="E973" s="56"/>
      <c r="F973" s="53"/>
      <c r="G973" s="53" t="str">
        <f>IF(ISBLANK(Acciones!$H973)=TRUE," ",WEEKNUM(Acciones!$H973,21))</f>
        <v xml:space="preserve"> </v>
      </c>
      <c r="H973" s="53"/>
      <c r="I973" s="66"/>
      <c r="J973" s="53"/>
      <c r="K973" s="48" t="str">
        <f ca="1">IF(AND(ISBLANK(Acciones!$D973)=FALSE,ISBLANK(Acciones!$H973)=TRUE),"Faltan fechas",IF(Acciones!$H973="","",IF(AND(Acciones!$H973&gt;=TODAY(),ISBLANK(Acciones!$J973)=TRUE),"En tiempo",IF(AND(Acciones!$H973&lt;TODAY(),Acciones!$J973=""),"Retrasado",IF(Acciones!$J973&gt;Acciones!$H973,"Cerrado con retraso","Cerrado")))))</f>
        <v/>
      </c>
      <c r="L973" s="61"/>
      <c r="M973" s="74"/>
    </row>
    <row r="974" spans="2:13" x14ac:dyDescent="0.3">
      <c r="B974" s="53"/>
      <c r="C974" s="65"/>
      <c r="D974" s="61"/>
      <c r="E974" s="56"/>
      <c r="F974" s="53"/>
      <c r="G974" s="53" t="str">
        <f>IF(ISBLANK(Acciones!$H974)=TRUE," ",WEEKNUM(Acciones!$H974,21))</f>
        <v xml:space="preserve"> </v>
      </c>
      <c r="H974" s="53"/>
      <c r="I974" s="66"/>
      <c r="J974" s="53"/>
      <c r="K974" s="48" t="str">
        <f ca="1">IF(AND(ISBLANK(Acciones!$D974)=FALSE,ISBLANK(Acciones!$H974)=TRUE),"Faltan fechas",IF(Acciones!$H974="","",IF(AND(Acciones!$H974&gt;=TODAY(),ISBLANK(Acciones!$J974)=TRUE),"En tiempo",IF(AND(Acciones!$H974&lt;TODAY(),Acciones!$J974=""),"Retrasado",IF(Acciones!$J974&gt;Acciones!$H974,"Cerrado con retraso","Cerrado")))))</f>
        <v/>
      </c>
      <c r="L974" s="61"/>
      <c r="M974" s="74"/>
    </row>
    <row r="975" spans="2:13" x14ac:dyDescent="0.3">
      <c r="B975" s="53"/>
      <c r="C975" s="65"/>
      <c r="D975" s="61"/>
      <c r="E975" s="56"/>
      <c r="F975" s="53"/>
      <c r="G975" s="53" t="str">
        <f>IF(ISBLANK(Acciones!$H975)=TRUE," ",WEEKNUM(Acciones!$H975,21))</f>
        <v xml:space="preserve"> </v>
      </c>
      <c r="H975" s="53"/>
      <c r="I975" s="66"/>
      <c r="J975" s="53"/>
      <c r="K975" s="48" t="str">
        <f ca="1">IF(AND(ISBLANK(Acciones!$D975)=FALSE,ISBLANK(Acciones!$H975)=TRUE),"Faltan fechas",IF(Acciones!$H975="","",IF(AND(Acciones!$H975&gt;=TODAY(),ISBLANK(Acciones!$J975)=TRUE),"En tiempo",IF(AND(Acciones!$H975&lt;TODAY(),Acciones!$J975=""),"Retrasado",IF(Acciones!$J975&gt;Acciones!$H975,"Cerrado con retraso","Cerrado")))))</f>
        <v/>
      </c>
      <c r="L975" s="61"/>
      <c r="M975" s="74"/>
    </row>
    <row r="976" spans="2:13" x14ac:dyDescent="0.3">
      <c r="B976" s="53"/>
      <c r="C976" s="65"/>
      <c r="D976" s="61"/>
      <c r="E976" s="56"/>
      <c r="F976" s="53"/>
      <c r="G976" s="53" t="str">
        <f>IF(ISBLANK(Acciones!$H976)=TRUE," ",WEEKNUM(Acciones!$H976,21))</f>
        <v xml:space="preserve"> </v>
      </c>
      <c r="H976" s="53"/>
      <c r="I976" s="66"/>
      <c r="J976" s="53"/>
      <c r="K976" s="48" t="str">
        <f ca="1">IF(AND(ISBLANK(Acciones!$D976)=FALSE,ISBLANK(Acciones!$H976)=TRUE),"Faltan fechas",IF(Acciones!$H976="","",IF(AND(Acciones!$H976&gt;=TODAY(),ISBLANK(Acciones!$J976)=TRUE),"En tiempo",IF(AND(Acciones!$H976&lt;TODAY(),Acciones!$J976=""),"Retrasado",IF(Acciones!$J976&gt;Acciones!$H976,"Cerrado con retraso","Cerrado")))))</f>
        <v/>
      </c>
      <c r="L976" s="61"/>
      <c r="M976" s="74"/>
    </row>
    <row r="977" spans="2:13" x14ac:dyDescent="0.3">
      <c r="B977" s="53"/>
      <c r="C977" s="65"/>
      <c r="D977" s="61"/>
      <c r="E977" s="56"/>
      <c r="F977" s="53"/>
      <c r="G977" s="53" t="str">
        <f>IF(ISBLANK(Acciones!$H977)=TRUE," ",WEEKNUM(Acciones!$H977,21))</f>
        <v xml:space="preserve"> </v>
      </c>
      <c r="H977" s="53"/>
      <c r="I977" s="66"/>
      <c r="J977" s="53"/>
      <c r="K977" s="48" t="str">
        <f ca="1">IF(AND(ISBLANK(Acciones!$D977)=FALSE,ISBLANK(Acciones!$H977)=TRUE),"Faltan fechas",IF(Acciones!$H977="","",IF(AND(Acciones!$H977&gt;=TODAY(),ISBLANK(Acciones!$J977)=TRUE),"En tiempo",IF(AND(Acciones!$H977&lt;TODAY(),Acciones!$J977=""),"Retrasado",IF(Acciones!$J977&gt;Acciones!$H977,"Cerrado con retraso","Cerrado")))))</f>
        <v/>
      </c>
      <c r="L977" s="61"/>
      <c r="M977" s="74"/>
    </row>
    <row r="978" spans="2:13" x14ac:dyDescent="0.3">
      <c r="B978" s="53"/>
      <c r="C978" s="65"/>
      <c r="D978" s="61"/>
      <c r="E978" s="56"/>
      <c r="F978" s="53"/>
      <c r="G978" s="53" t="str">
        <f>IF(ISBLANK(Acciones!$H978)=TRUE," ",WEEKNUM(Acciones!$H978,21))</f>
        <v xml:space="preserve"> </v>
      </c>
      <c r="H978" s="53"/>
      <c r="I978" s="66"/>
      <c r="J978" s="53"/>
      <c r="K978" s="48" t="str">
        <f ca="1">IF(AND(ISBLANK(Acciones!$D978)=FALSE,ISBLANK(Acciones!$H978)=TRUE),"Faltan fechas",IF(Acciones!$H978="","",IF(AND(Acciones!$H978&gt;=TODAY(),ISBLANK(Acciones!$J978)=TRUE),"En tiempo",IF(AND(Acciones!$H978&lt;TODAY(),Acciones!$J978=""),"Retrasado",IF(Acciones!$J978&gt;Acciones!$H978,"Cerrado con retraso","Cerrado")))))</f>
        <v/>
      </c>
      <c r="L978" s="61"/>
      <c r="M978" s="74"/>
    </row>
    <row r="979" spans="2:13" x14ac:dyDescent="0.3">
      <c r="B979" s="53"/>
      <c r="C979" s="65"/>
      <c r="D979" s="61"/>
      <c r="E979" s="56"/>
      <c r="F979" s="53"/>
      <c r="G979" s="53" t="str">
        <f>IF(ISBLANK(Acciones!$H979)=TRUE," ",WEEKNUM(Acciones!$H979,21))</f>
        <v xml:space="preserve"> </v>
      </c>
      <c r="H979" s="53"/>
      <c r="I979" s="66"/>
      <c r="J979" s="53"/>
      <c r="K979" s="48" t="str">
        <f ca="1">IF(AND(ISBLANK(Acciones!$D979)=FALSE,ISBLANK(Acciones!$H979)=TRUE),"Faltan fechas",IF(Acciones!$H979="","",IF(AND(Acciones!$H979&gt;=TODAY(),ISBLANK(Acciones!$J979)=TRUE),"En tiempo",IF(AND(Acciones!$H979&lt;TODAY(),Acciones!$J979=""),"Retrasado",IF(Acciones!$J979&gt;Acciones!$H979,"Cerrado con retraso","Cerrado")))))</f>
        <v/>
      </c>
      <c r="L979" s="61"/>
      <c r="M979" s="74"/>
    </row>
    <row r="980" spans="2:13" x14ac:dyDescent="0.3">
      <c r="B980" s="53"/>
      <c r="C980" s="65"/>
      <c r="D980" s="61"/>
      <c r="E980" s="56"/>
      <c r="F980" s="53"/>
      <c r="G980" s="53" t="str">
        <f>IF(ISBLANK(Acciones!$H980)=TRUE," ",WEEKNUM(Acciones!$H980,21))</f>
        <v xml:space="preserve"> </v>
      </c>
      <c r="H980" s="53"/>
      <c r="I980" s="66"/>
      <c r="J980" s="53"/>
      <c r="K980" s="48" t="str">
        <f ca="1">IF(AND(ISBLANK(Acciones!$D980)=FALSE,ISBLANK(Acciones!$H980)=TRUE),"Faltan fechas",IF(Acciones!$H980="","",IF(AND(Acciones!$H980&gt;=TODAY(),ISBLANK(Acciones!$J980)=TRUE),"En tiempo",IF(AND(Acciones!$H980&lt;TODAY(),Acciones!$J980=""),"Retrasado",IF(Acciones!$J980&gt;Acciones!$H980,"Cerrado con retraso","Cerrado")))))</f>
        <v/>
      </c>
      <c r="L980" s="61"/>
      <c r="M980" s="74"/>
    </row>
    <row r="981" spans="2:13" x14ac:dyDescent="0.3">
      <c r="B981" s="53"/>
      <c r="C981" s="65"/>
      <c r="D981" s="61"/>
      <c r="E981" s="56"/>
      <c r="F981" s="53"/>
      <c r="G981" s="53" t="str">
        <f>IF(ISBLANK(Acciones!$H981)=TRUE," ",WEEKNUM(Acciones!$H981,21))</f>
        <v xml:space="preserve"> </v>
      </c>
      <c r="H981" s="53"/>
      <c r="I981" s="66"/>
      <c r="J981" s="53"/>
      <c r="K981" s="48" t="str">
        <f ca="1">IF(AND(ISBLANK(Acciones!$D981)=FALSE,ISBLANK(Acciones!$H981)=TRUE),"Faltan fechas",IF(Acciones!$H981="","",IF(AND(Acciones!$H981&gt;=TODAY(),ISBLANK(Acciones!$J981)=TRUE),"En tiempo",IF(AND(Acciones!$H981&lt;TODAY(),Acciones!$J981=""),"Retrasado",IF(Acciones!$J981&gt;Acciones!$H981,"Cerrado con retraso","Cerrado")))))</f>
        <v/>
      </c>
      <c r="L981" s="61"/>
      <c r="M981" s="74"/>
    </row>
    <row r="982" spans="2:13" x14ac:dyDescent="0.3">
      <c r="B982" s="53"/>
      <c r="C982" s="65"/>
      <c r="D982" s="61"/>
      <c r="E982" s="56"/>
      <c r="F982" s="53"/>
      <c r="G982" s="53" t="str">
        <f>IF(ISBLANK(Acciones!$H982)=TRUE," ",WEEKNUM(Acciones!$H982,21))</f>
        <v xml:space="preserve"> </v>
      </c>
      <c r="H982" s="53"/>
      <c r="I982" s="66"/>
      <c r="J982" s="53"/>
      <c r="K982" s="48" t="str">
        <f ca="1">IF(AND(ISBLANK(Acciones!$D982)=FALSE,ISBLANK(Acciones!$H982)=TRUE),"Faltan fechas",IF(Acciones!$H982="","",IF(AND(Acciones!$H982&gt;=TODAY(),ISBLANK(Acciones!$J982)=TRUE),"En tiempo",IF(AND(Acciones!$H982&lt;TODAY(),Acciones!$J982=""),"Retrasado",IF(Acciones!$J982&gt;Acciones!$H982,"Cerrado con retraso","Cerrado")))))</f>
        <v/>
      </c>
      <c r="L982" s="61"/>
      <c r="M982" s="74"/>
    </row>
    <row r="983" spans="2:13" x14ac:dyDescent="0.3">
      <c r="B983" s="53"/>
      <c r="C983" s="65"/>
      <c r="D983" s="61"/>
      <c r="E983" s="56"/>
      <c r="F983" s="53"/>
      <c r="G983" s="53" t="str">
        <f>IF(ISBLANK(Acciones!$H983)=TRUE," ",WEEKNUM(Acciones!$H983,21))</f>
        <v xml:space="preserve"> </v>
      </c>
      <c r="H983" s="53"/>
      <c r="I983" s="66"/>
      <c r="J983" s="53"/>
      <c r="K983" s="48" t="str">
        <f ca="1">IF(AND(ISBLANK(Acciones!$D983)=FALSE,ISBLANK(Acciones!$H983)=TRUE),"Faltan fechas",IF(Acciones!$H983="","",IF(AND(Acciones!$H983&gt;=TODAY(),ISBLANK(Acciones!$J983)=TRUE),"En tiempo",IF(AND(Acciones!$H983&lt;TODAY(),Acciones!$J983=""),"Retrasado",IF(Acciones!$J983&gt;Acciones!$H983,"Cerrado con retraso","Cerrado")))))</f>
        <v/>
      </c>
      <c r="L983" s="61"/>
      <c r="M983" s="74"/>
    </row>
    <row r="984" spans="2:13" x14ac:dyDescent="0.3">
      <c r="B984" s="53"/>
      <c r="C984" s="65"/>
      <c r="D984" s="61"/>
      <c r="E984" s="56"/>
      <c r="F984" s="53"/>
      <c r="G984" s="53" t="str">
        <f>IF(ISBLANK(Acciones!$H984)=TRUE," ",WEEKNUM(Acciones!$H984,21))</f>
        <v xml:space="preserve"> </v>
      </c>
      <c r="H984" s="53"/>
      <c r="I984" s="66"/>
      <c r="J984" s="53"/>
      <c r="K984" s="48" t="str">
        <f ca="1">IF(AND(ISBLANK(Acciones!$D984)=FALSE,ISBLANK(Acciones!$H984)=TRUE),"Faltan fechas",IF(Acciones!$H984="","",IF(AND(Acciones!$H984&gt;=TODAY(),ISBLANK(Acciones!$J984)=TRUE),"En tiempo",IF(AND(Acciones!$H984&lt;TODAY(),Acciones!$J984=""),"Retrasado",IF(Acciones!$J984&gt;Acciones!$H984,"Cerrado con retraso","Cerrado")))))</f>
        <v/>
      </c>
      <c r="L984" s="61"/>
      <c r="M984" s="74"/>
    </row>
    <row r="985" spans="2:13" x14ac:dyDescent="0.3">
      <c r="B985" s="53"/>
      <c r="C985" s="65"/>
      <c r="D985" s="61"/>
      <c r="E985" s="56"/>
      <c r="F985" s="53"/>
      <c r="G985" s="53" t="str">
        <f>IF(ISBLANK(Acciones!$H985)=TRUE," ",WEEKNUM(Acciones!$H985,21))</f>
        <v xml:space="preserve"> </v>
      </c>
      <c r="H985" s="53"/>
      <c r="I985" s="66"/>
      <c r="J985" s="53"/>
      <c r="K985" s="48" t="str">
        <f ca="1">IF(AND(ISBLANK(Acciones!$D985)=FALSE,ISBLANK(Acciones!$H985)=TRUE),"Faltan fechas",IF(Acciones!$H985="","",IF(AND(Acciones!$H985&gt;=TODAY(),ISBLANK(Acciones!$J985)=TRUE),"En tiempo",IF(AND(Acciones!$H985&lt;TODAY(),Acciones!$J985=""),"Retrasado",IF(Acciones!$J985&gt;Acciones!$H985,"Cerrado con retraso","Cerrado")))))</f>
        <v/>
      </c>
      <c r="L985" s="61"/>
      <c r="M985" s="74"/>
    </row>
    <row r="986" spans="2:13" x14ac:dyDescent="0.3">
      <c r="B986" s="53"/>
      <c r="C986" s="65"/>
      <c r="D986" s="61"/>
      <c r="E986" s="56"/>
      <c r="F986" s="53"/>
      <c r="G986" s="53" t="str">
        <f>IF(ISBLANK(Acciones!$H986)=TRUE," ",WEEKNUM(Acciones!$H986,21))</f>
        <v xml:space="preserve"> </v>
      </c>
      <c r="H986" s="53"/>
      <c r="I986" s="66"/>
      <c r="J986" s="53"/>
      <c r="K986" s="48" t="str">
        <f ca="1">IF(AND(ISBLANK(Acciones!$D986)=FALSE,ISBLANK(Acciones!$H986)=TRUE),"Faltan fechas",IF(Acciones!$H986="","",IF(AND(Acciones!$H986&gt;=TODAY(),ISBLANK(Acciones!$J986)=TRUE),"En tiempo",IF(AND(Acciones!$H986&lt;TODAY(),Acciones!$J986=""),"Retrasado",IF(Acciones!$J986&gt;Acciones!$H986,"Cerrado con retraso","Cerrado")))))</f>
        <v/>
      </c>
      <c r="L986" s="61"/>
      <c r="M986" s="74"/>
    </row>
    <row r="987" spans="2:13" x14ac:dyDescent="0.3">
      <c r="B987" s="53"/>
      <c r="C987" s="65"/>
      <c r="D987" s="61"/>
      <c r="E987" s="56"/>
      <c r="F987" s="53"/>
      <c r="G987" s="53" t="str">
        <f>IF(ISBLANK(Acciones!$H987)=TRUE," ",WEEKNUM(Acciones!$H987,21))</f>
        <v xml:space="preserve"> </v>
      </c>
      <c r="H987" s="53"/>
      <c r="I987" s="66"/>
      <c r="J987" s="53"/>
      <c r="K987" s="48" t="str">
        <f ca="1">IF(AND(ISBLANK(Acciones!$D987)=FALSE,ISBLANK(Acciones!$H987)=TRUE),"Faltan fechas",IF(Acciones!$H987="","",IF(AND(Acciones!$H987&gt;=TODAY(),ISBLANK(Acciones!$J987)=TRUE),"En tiempo",IF(AND(Acciones!$H987&lt;TODAY(),Acciones!$J987=""),"Retrasado",IF(Acciones!$J987&gt;Acciones!$H987,"Cerrado con retraso","Cerrado")))))</f>
        <v/>
      </c>
      <c r="L987" s="61"/>
      <c r="M987" s="74"/>
    </row>
    <row r="988" spans="2:13" x14ac:dyDescent="0.3">
      <c r="B988" s="53"/>
      <c r="C988" s="65"/>
      <c r="D988" s="61"/>
      <c r="E988" s="56"/>
      <c r="F988" s="53"/>
      <c r="G988" s="53" t="str">
        <f>IF(ISBLANK(Acciones!$H988)=TRUE," ",WEEKNUM(Acciones!$H988,21))</f>
        <v xml:space="preserve"> </v>
      </c>
      <c r="H988" s="53"/>
      <c r="I988" s="66"/>
      <c r="J988" s="53"/>
      <c r="K988" s="48" t="str">
        <f ca="1">IF(AND(ISBLANK(Acciones!$D988)=FALSE,ISBLANK(Acciones!$H988)=TRUE),"Faltan fechas",IF(Acciones!$H988="","",IF(AND(Acciones!$H988&gt;=TODAY(),ISBLANK(Acciones!$J988)=TRUE),"En tiempo",IF(AND(Acciones!$H988&lt;TODAY(),Acciones!$J988=""),"Retrasado",IF(Acciones!$J988&gt;Acciones!$H988,"Cerrado con retraso","Cerrado")))))</f>
        <v/>
      </c>
      <c r="L988" s="61"/>
      <c r="M988" s="74"/>
    </row>
    <row r="989" spans="2:13" x14ac:dyDescent="0.3">
      <c r="B989" s="53"/>
      <c r="C989" s="65"/>
      <c r="D989" s="61"/>
      <c r="E989" s="56"/>
      <c r="F989" s="53"/>
      <c r="G989" s="53" t="str">
        <f>IF(ISBLANK(Acciones!$H989)=TRUE," ",WEEKNUM(Acciones!$H989,21))</f>
        <v xml:space="preserve"> </v>
      </c>
      <c r="H989" s="53"/>
      <c r="I989" s="66"/>
      <c r="J989" s="53"/>
      <c r="K989" s="48" t="str">
        <f ca="1">IF(AND(ISBLANK(Acciones!$D989)=FALSE,ISBLANK(Acciones!$H989)=TRUE),"Faltan fechas",IF(Acciones!$H989="","",IF(AND(Acciones!$H989&gt;=TODAY(),ISBLANK(Acciones!$J989)=TRUE),"En tiempo",IF(AND(Acciones!$H989&lt;TODAY(),Acciones!$J989=""),"Retrasado",IF(Acciones!$J989&gt;Acciones!$H989,"Cerrado con retraso","Cerrado")))))</f>
        <v/>
      </c>
      <c r="L989" s="61"/>
      <c r="M989" s="74"/>
    </row>
    <row r="990" spans="2:13" x14ac:dyDescent="0.3">
      <c r="B990" s="53"/>
      <c r="C990" s="65"/>
      <c r="D990" s="61"/>
      <c r="E990" s="56"/>
      <c r="F990" s="53"/>
      <c r="G990" s="53" t="str">
        <f>IF(ISBLANK(Acciones!$H990)=TRUE," ",WEEKNUM(Acciones!$H990,21))</f>
        <v xml:space="preserve"> </v>
      </c>
      <c r="H990" s="53"/>
      <c r="I990" s="66"/>
      <c r="J990" s="53"/>
      <c r="K990" s="48" t="str">
        <f ca="1">IF(AND(ISBLANK(Acciones!$D990)=FALSE,ISBLANK(Acciones!$H990)=TRUE),"Faltan fechas",IF(Acciones!$H990="","",IF(AND(Acciones!$H990&gt;=TODAY(),ISBLANK(Acciones!$J990)=TRUE),"En tiempo",IF(AND(Acciones!$H990&lt;TODAY(),Acciones!$J990=""),"Retrasado",IF(Acciones!$J990&gt;Acciones!$H990,"Cerrado con retraso","Cerrado")))))</f>
        <v/>
      </c>
      <c r="L990" s="61"/>
      <c r="M990" s="74"/>
    </row>
    <row r="991" spans="2:13" x14ac:dyDescent="0.3">
      <c r="B991" s="53"/>
      <c r="C991" s="65"/>
      <c r="D991" s="61"/>
      <c r="E991" s="56"/>
      <c r="F991" s="53"/>
      <c r="G991" s="53" t="str">
        <f>IF(ISBLANK(Acciones!$H991)=TRUE," ",WEEKNUM(Acciones!$H991,21))</f>
        <v xml:space="preserve"> </v>
      </c>
      <c r="H991" s="53"/>
      <c r="I991" s="66"/>
      <c r="J991" s="53"/>
      <c r="K991" s="48" t="str">
        <f ca="1">IF(AND(ISBLANK(Acciones!$D991)=FALSE,ISBLANK(Acciones!$H991)=TRUE),"Faltan fechas",IF(Acciones!$H991="","",IF(AND(Acciones!$H991&gt;=TODAY(),ISBLANK(Acciones!$J991)=TRUE),"En tiempo",IF(AND(Acciones!$H991&lt;TODAY(),Acciones!$J991=""),"Retrasado",IF(Acciones!$J991&gt;Acciones!$H991,"Cerrado con retraso","Cerrado")))))</f>
        <v/>
      </c>
      <c r="L991" s="61"/>
      <c r="M991" s="74"/>
    </row>
    <row r="992" spans="2:13" x14ac:dyDescent="0.3">
      <c r="B992" s="53"/>
      <c r="C992" s="65"/>
      <c r="D992" s="61"/>
      <c r="E992" s="56"/>
      <c r="F992" s="53"/>
      <c r="G992" s="53" t="str">
        <f>IF(ISBLANK(Acciones!$H992)=TRUE," ",WEEKNUM(Acciones!$H992,21))</f>
        <v xml:space="preserve"> </v>
      </c>
      <c r="H992" s="53"/>
      <c r="I992" s="66"/>
      <c r="J992" s="53"/>
      <c r="K992" s="48" t="str">
        <f ca="1">IF(AND(ISBLANK(Acciones!$D992)=FALSE,ISBLANK(Acciones!$H992)=TRUE),"Faltan fechas",IF(Acciones!$H992="","",IF(AND(Acciones!$H992&gt;=TODAY(),ISBLANK(Acciones!$J992)=TRUE),"En tiempo",IF(AND(Acciones!$H992&lt;TODAY(),Acciones!$J992=""),"Retrasado",IF(Acciones!$J992&gt;Acciones!$H992,"Cerrado con retraso","Cerrado")))))</f>
        <v/>
      </c>
      <c r="L992" s="61"/>
      <c r="M992" s="74"/>
    </row>
    <row r="993" spans="2:13" x14ac:dyDescent="0.3">
      <c r="B993" s="53"/>
      <c r="C993" s="65"/>
      <c r="D993" s="61"/>
      <c r="E993" s="56"/>
      <c r="F993" s="53"/>
      <c r="G993" s="53" t="str">
        <f>IF(ISBLANK(Acciones!$H993)=TRUE," ",WEEKNUM(Acciones!$H993,21))</f>
        <v xml:space="preserve"> </v>
      </c>
      <c r="H993" s="53"/>
      <c r="I993" s="66"/>
      <c r="J993" s="53"/>
      <c r="K993" s="48" t="str">
        <f ca="1">IF(AND(ISBLANK(Acciones!$D993)=FALSE,ISBLANK(Acciones!$H993)=TRUE),"Faltan fechas",IF(Acciones!$H993="","",IF(AND(Acciones!$H993&gt;=TODAY(),ISBLANK(Acciones!$J993)=TRUE),"En tiempo",IF(AND(Acciones!$H993&lt;TODAY(),Acciones!$J993=""),"Retrasado",IF(Acciones!$J993&gt;Acciones!$H993,"Cerrado con retraso","Cerrado")))))</f>
        <v/>
      </c>
      <c r="L993" s="61"/>
      <c r="M993" s="74"/>
    </row>
    <row r="994" spans="2:13" x14ac:dyDescent="0.3">
      <c r="B994" s="53"/>
      <c r="C994" s="65"/>
      <c r="D994" s="61"/>
      <c r="E994" s="56"/>
      <c r="F994" s="53"/>
      <c r="G994" s="53" t="str">
        <f>IF(ISBLANK(Acciones!$H994)=TRUE," ",WEEKNUM(Acciones!$H994,21))</f>
        <v xml:space="preserve"> </v>
      </c>
      <c r="H994" s="53"/>
      <c r="I994" s="66"/>
      <c r="J994" s="53"/>
      <c r="K994" s="48" t="str">
        <f ca="1">IF(AND(ISBLANK(Acciones!$D994)=FALSE,ISBLANK(Acciones!$H994)=TRUE),"Faltan fechas",IF(Acciones!$H994="","",IF(AND(Acciones!$H994&gt;=TODAY(),ISBLANK(Acciones!$J994)=TRUE),"En tiempo",IF(AND(Acciones!$H994&lt;TODAY(),Acciones!$J994=""),"Retrasado",IF(Acciones!$J994&gt;Acciones!$H994,"Cerrado con retraso","Cerrado")))))</f>
        <v/>
      </c>
      <c r="L994" s="61"/>
      <c r="M994" s="74"/>
    </row>
    <row r="995" spans="2:13" x14ac:dyDescent="0.3">
      <c r="B995" s="53"/>
      <c r="C995" s="65"/>
      <c r="D995" s="61"/>
      <c r="E995" s="56"/>
      <c r="F995" s="53"/>
      <c r="G995" s="53" t="str">
        <f>IF(ISBLANK(Acciones!$H995)=TRUE," ",WEEKNUM(Acciones!$H995,21))</f>
        <v xml:space="preserve"> </v>
      </c>
      <c r="H995" s="53"/>
      <c r="I995" s="66"/>
      <c r="J995" s="53"/>
      <c r="K995" s="48" t="str">
        <f ca="1">IF(AND(ISBLANK(Acciones!$D995)=FALSE,ISBLANK(Acciones!$H995)=TRUE),"Faltan fechas",IF(Acciones!$H995="","",IF(AND(Acciones!$H995&gt;=TODAY(),ISBLANK(Acciones!$J995)=TRUE),"En tiempo",IF(AND(Acciones!$H995&lt;TODAY(),Acciones!$J995=""),"Retrasado",IF(Acciones!$J995&gt;Acciones!$H995,"Cerrado con retraso","Cerrado")))))</f>
        <v/>
      </c>
      <c r="L995" s="61"/>
      <c r="M995" s="74"/>
    </row>
    <row r="996" spans="2:13" x14ac:dyDescent="0.3">
      <c r="B996" s="53"/>
      <c r="C996" s="65"/>
      <c r="D996" s="61"/>
      <c r="E996" s="56"/>
      <c r="F996" s="53"/>
      <c r="G996" s="53" t="str">
        <f>IF(ISBLANK(Acciones!$H996)=TRUE," ",WEEKNUM(Acciones!$H996,21))</f>
        <v xml:space="preserve"> </v>
      </c>
      <c r="H996" s="53"/>
      <c r="I996" s="66"/>
      <c r="J996" s="53"/>
      <c r="K996" s="48" t="str">
        <f ca="1">IF(AND(ISBLANK(Acciones!$D996)=FALSE,ISBLANK(Acciones!$H996)=TRUE),"Faltan fechas",IF(Acciones!$H996="","",IF(AND(Acciones!$H996&gt;=TODAY(),ISBLANK(Acciones!$J996)=TRUE),"En tiempo",IF(AND(Acciones!$H996&lt;TODAY(),Acciones!$J996=""),"Retrasado",IF(Acciones!$J996&gt;Acciones!$H996,"Cerrado con retraso","Cerrado")))))</f>
        <v/>
      </c>
      <c r="L996" s="61"/>
      <c r="M996" s="74"/>
    </row>
    <row r="997" spans="2:13" x14ac:dyDescent="0.3">
      <c r="B997" s="53"/>
      <c r="C997" s="65"/>
      <c r="D997" s="61"/>
      <c r="E997" s="56"/>
      <c r="F997" s="53"/>
      <c r="G997" s="53" t="str">
        <f>IF(ISBLANK(Acciones!$H997)=TRUE," ",WEEKNUM(Acciones!$H997,21))</f>
        <v xml:space="preserve"> </v>
      </c>
      <c r="H997" s="53"/>
      <c r="I997" s="66"/>
      <c r="J997" s="53"/>
      <c r="K997" s="48" t="str">
        <f ca="1">IF(AND(ISBLANK(Acciones!$D997)=FALSE,ISBLANK(Acciones!$H997)=TRUE),"Faltan fechas",IF(Acciones!$H997="","",IF(AND(Acciones!$H997&gt;=TODAY(),ISBLANK(Acciones!$J997)=TRUE),"En tiempo",IF(AND(Acciones!$H997&lt;TODAY(),Acciones!$J997=""),"Retrasado",IF(Acciones!$J997&gt;Acciones!$H997,"Cerrado con retraso","Cerrado")))))</f>
        <v/>
      </c>
      <c r="L997" s="61"/>
      <c r="M997" s="74"/>
    </row>
    <row r="998" spans="2:13" x14ac:dyDescent="0.3">
      <c r="B998" s="53"/>
      <c r="C998" s="65"/>
      <c r="D998" s="61"/>
      <c r="E998" s="56"/>
      <c r="F998" s="53"/>
      <c r="G998" s="53" t="str">
        <f>IF(ISBLANK(Acciones!$H998)=TRUE," ",WEEKNUM(Acciones!$H998,21))</f>
        <v xml:space="preserve"> </v>
      </c>
      <c r="H998" s="53"/>
      <c r="I998" s="66"/>
      <c r="J998" s="53"/>
      <c r="K998" s="48" t="str">
        <f ca="1">IF(AND(ISBLANK(Acciones!$D998)=FALSE,ISBLANK(Acciones!$H998)=TRUE),"Faltan fechas",IF(Acciones!$H998="","",IF(AND(Acciones!$H998&gt;=TODAY(),ISBLANK(Acciones!$J998)=TRUE),"En tiempo",IF(AND(Acciones!$H998&lt;TODAY(),Acciones!$J998=""),"Retrasado",IF(Acciones!$J998&gt;Acciones!$H998,"Cerrado con retraso","Cerrado")))))</f>
        <v/>
      </c>
      <c r="L998" s="61"/>
      <c r="M998" s="74"/>
    </row>
    <row r="999" spans="2:13" x14ac:dyDescent="0.3">
      <c r="B999" s="53"/>
      <c r="C999" s="65"/>
      <c r="D999" s="61"/>
      <c r="E999" s="56"/>
      <c r="F999" s="53"/>
      <c r="G999" s="53" t="str">
        <f>IF(ISBLANK(Acciones!$H999)=TRUE," ",WEEKNUM(Acciones!$H999,21))</f>
        <v xml:space="preserve"> </v>
      </c>
      <c r="H999" s="53"/>
      <c r="I999" s="66"/>
      <c r="J999" s="53"/>
      <c r="K999" s="48" t="str">
        <f ca="1">IF(AND(ISBLANK(Acciones!$D999)=FALSE,ISBLANK(Acciones!$H999)=TRUE),"Faltan fechas",IF(Acciones!$H999="","",IF(AND(Acciones!$H999&gt;=TODAY(),ISBLANK(Acciones!$J999)=TRUE),"En tiempo",IF(AND(Acciones!$H999&lt;TODAY(),Acciones!$J999=""),"Retrasado",IF(Acciones!$J999&gt;Acciones!$H999,"Cerrado con retraso","Cerrado")))))</f>
        <v/>
      </c>
      <c r="L999" s="61"/>
      <c r="M999" s="74"/>
    </row>
    <row r="1000" spans="2:13" x14ac:dyDescent="0.3">
      <c r="B1000" s="53"/>
      <c r="C1000" s="65"/>
      <c r="D1000" s="61"/>
      <c r="E1000" s="56"/>
      <c r="F1000" s="53"/>
      <c r="G1000" s="53" t="str">
        <f>IF(ISBLANK(Acciones!$H1000)=TRUE," ",WEEKNUM(Acciones!$H1000,21))</f>
        <v xml:space="preserve"> </v>
      </c>
      <c r="H1000" s="53"/>
      <c r="I1000" s="66"/>
      <c r="J1000" s="53"/>
      <c r="K1000" s="48" t="str">
        <f ca="1">IF(AND(ISBLANK(Acciones!$D1000)=FALSE,ISBLANK(Acciones!$H1000)=TRUE),"Faltan fechas",IF(Acciones!$H1000="","",IF(AND(Acciones!$H1000&gt;=TODAY(),ISBLANK(Acciones!$J1000)=TRUE),"En tiempo",IF(AND(Acciones!$H1000&lt;TODAY(),Acciones!$J1000=""),"Retrasado",IF(Acciones!$J1000&gt;Acciones!$H1000,"Cerrado con retraso","Cerrado")))))</f>
        <v/>
      </c>
      <c r="L1000" s="61"/>
      <c r="M1000" s="74"/>
    </row>
    <row r="1001" spans="2:13" x14ac:dyDescent="0.3">
      <c r="B1001" s="53"/>
      <c r="C1001" s="65"/>
      <c r="D1001" s="61"/>
      <c r="E1001" s="56"/>
      <c r="F1001" s="53"/>
      <c r="G1001" s="53" t="str">
        <f>IF(ISBLANK(Acciones!$H1001)=TRUE," ",WEEKNUM(Acciones!$H1001,21))</f>
        <v xml:space="preserve"> </v>
      </c>
      <c r="H1001" s="53"/>
      <c r="I1001" s="66"/>
      <c r="J1001" s="53"/>
      <c r="K1001" s="48" t="str">
        <f ca="1">IF(AND(ISBLANK(Acciones!$D1001)=FALSE,ISBLANK(Acciones!$H1001)=TRUE),"Faltan fechas",IF(Acciones!$H1001="","",IF(AND(Acciones!$H1001&gt;=TODAY(),ISBLANK(Acciones!$J1001)=TRUE),"En tiempo",IF(AND(Acciones!$H1001&lt;TODAY(),Acciones!$J1001=""),"Retrasado",IF(Acciones!$J1001&gt;Acciones!$H1001,"Cerrado con retraso","Cerrado")))))</f>
        <v/>
      </c>
      <c r="L1001" s="61"/>
      <c r="M1001" s="74"/>
    </row>
    <row r="1002" spans="2:13" x14ac:dyDescent="0.3">
      <c r="B1002" s="53"/>
      <c r="C1002" s="65"/>
      <c r="D1002" s="61"/>
      <c r="E1002" s="56"/>
      <c r="F1002" s="53"/>
      <c r="G1002" s="53" t="str">
        <f>IF(ISBLANK(Acciones!$H1002)=TRUE," ",WEEKNUM(Acciones!$H1002,21))</f>
        <v xml:space="preserve"> </v>
      </c>
      <c r="H1002" s="53"/>
      <c r="I1002" s="66"/>
      <c r="J1002" s="53"/>
      <c r="K1002" s="48" t="str">
        <f ca="1">IF(AND(ISBLANK(Acciones!$D1002)=FALSE,ISBLANK(Acciones!$H1002)=TRUE),"Faltan fechas",IF(Acciones!$H1002="","",IF(AND(Acciones!$H1002&gt;=TODAY(),ISBLANK(Acciones!$J1002)=TRUE),"En tiempo",IF(AND(Acciones!$H1002&lt;TODAY(),Acciones!$J1002=""),"Retrasado",IF(Acciones!$J1002&gt;Acciones!$H1002,"Cerrado con retraso","Cerrado")))))</f>
        <v/>
      </c>
      <c r="L1002" s="61"/>
      <c r="M1002" s="74"/>
    </row>
    <row r="1003" spans="2:13" x14ac:dyDescent="0.3">
      <c r="B1003" s="53"/>
      <c r="C1003" s="65"/>
      <c r="D1003" s="61"/>
      <c r="E1003" s="56"/>
      <c r="F1003" s="53"/>
      <c r="G1003" s="53" t="str">
        <f>IF(ISBLANK(Acciones!$H1003)=TRUE," ",WEEKNUM(Acciones!$H1003,21))</f>
        <v xml:space="preserve"> </v>
      </c>
      <c r="H1003" s="53"/>
      <c r="I1003" s="66"/>
      <c r="J1003" s="53"/>
      <c r="K1003" s="48" t="str">
        <f ca="1">IF(AND(ISBLANK(Acciones!$D1003)=FALSE,ISBLANK(Acciones!$H1003)=TRUE),"Faltan fechas",IF(Acciones!$H1003="","",IF(AND(Acciones!$H1003&gt;=TODAY(),ISBLANK(Acciones!$J1003)=TRUE),"En tiempo",IF(AND(Acciones!$H1003&lt;TODAY(),Acciones!$J1003=""),"Retrasado",IF(Acciones!$J1003&gt;Acciones!$H1003,"Cerrado con retraso","Cerrado")))))</f>
        <v/>
      </c>
      <c r="L1003" s="61"/>
      <c r="M1003" s="74"/>
    </row>
    <row r="1004" spans="2:13" x14ac:dyDescent="0.3">
      <c r="B1004" s="53"/>
      <c r="C1004" s="65"/>
      <c r="D1004" s="61"/>
      <c r="E1004" s="56"/>
      <c r="F1004" s="53"/>
      <c r="G1004" s="53" t="str">
        <f>IF(ISBLANK(Acciones!$H1004)=TRUE," ",WEEKNUM(Acciones!$H1004,21))</f>
        <v xml:space="preserve"> </v>
      </c>
      <c r="H1004" s="53"/>
      <c r="I1004" s="66"/>
      <c r="J1004" s="53"/>
      <c r="K1004" s="48" t="str">
        <f ca="1">IF(AND(ISBLANK(Acciones!$D1004)=FALSE,ISBLANK(Acciones!$H1004)=TRUE),"Faltan fechas",IF(Acciones!$H1004="","",IF(AND(Acciones!$H1004&gt;=TODAY(),ISBLANK(Acciones!$J1004)=TRUE),"En tiempo",IF(AND(Acciones!$H1004&lt;TODAY(),Acciones!$J1004=""),"Retrasado",IF(Acciones!$J1004&gt;Acciones!$H1004,"Cerrado con retraso","Cerrado")))))</f>
        <v/>
      </c>
      <c r="L1004" s="61"/>
      <c r="M1004" s="74"/>
    </row>
    <row r="1005" spans="2:13" x14ac:dyDescent="0.3">
      <c r="B1005" s="67"/>
      <c r="C1005" s="68"/>
      <c r="D1005" s="69"/>
      <c r="E1005" s="70"/>
      <c r="F1005" s="67"/>
      <c r="G1005" s="67" t="str">
        <f>IF(ISBLANK(Acciones!$H1005)=TRUE," ",WEEKNUM(Acciones!$H1005,21))</f>
        <v xml:space="preserve"> </v>
      </c>
      <c r="H1005" s="67"/>
      <c r="I1005" s="71"/>
      <c r="J1005" s="67"/>
      <c r="K1005" s="49" t="str">
        <f ca="1">IF(AND(ISBLANK(Acciones!$D1005)=FALSE,ISBLANK(Acciones!$H1005)=TRUE),"Faltan fechas",IF(Acciones!$H1005="","",IF(AND(Acciones!$H1005&gt;=TODAY(),ISBLANK(Acciones!$J1005)=TRUE),"En tiempo",IF(AND(Acciones!$H1005&lt;TODAY(),Acciones!$J1005=""),"Retrasado",IF(Acciones!$J1005&gt;Acciones!$H1005,"Cerrado con retraso","Cerrado")))))</f>
        <v/>
      </c>
      <c r="L1005" s="69"/>
      <c r="M1005" s="75"/>
    </row>
  </sheetData>
  <sheetProtection autoFilter="0"/>
  <autoFilter ref="B2:M2"/>
  <customSheetViews>
    <customSheetView guid="{B60C2B29-843E-4A3D-B0FD-F091A51CE9F0}" showAutoFilter="1" hiddenColumns="1" topLeftCell="B1">
      <selection activeCell="B2" sqref="B2:M2"/>
      <pageMargins left="0.7" right="0.7" top="0.75" bottom="0.75" header="0.3" footer="0.3"/>
      <autoFilter ref="B2:M2"/>
    </customSheetView>
  </customSheetViews>
  <mergeCells count="1">
    <mergeCell ref="T1:U1"/>
  </mergeCells>
  <conditionalFormatting sqref="K3:K1005">
    <cfRule type="containsText" dxfId="4" priority="1" operator="containsText" text="Faltan fechas">
      <formula>NOT(ISERROR(SEARCH("Faltan fechas",K3)))</formula>
    </cfRule>
    <cfRule type="containsText" dxfId="3" priority="2" operator="containsText" text="en tiempo">
      <formula>NOT(ISERROR(SEARCH("en tiempo",K3)))</formula>
    </cfRule>
    <cfRule type="containsText" dxfId="2" priority="3" operator="containsText" text="Retrasado">
      <formula>NOT(ISERROR(SEARCH("Retrasado",K3)))</formula>
    </cfRule>
    <cfRule type="containsText" dxfId="1" priority="4" operator="containsText" text="cerrado con retraso">
      <formula>NOT(ISERROR(SEARCH("cerrado con retraso",K3)))</formula>
    </cfRule>
    <cfRule type="containsText" dxfId="0" priority="5" operator="containsText" text="cerrado">
      <formula>NOT(ISERROR(SEARCH("cerrado",K3)))</formula>
    </cfRule>
  </conditionalFormatting>
  <dataValidations count="3">
    <dataValidation type="list" allowBlank="1" showInputMessage="1" showErrorMessage="1" sqref="E3:E1005">
      <formula1>"A,B,C"</formula1>
    </dataValidation>
    <dataValidation type="list" allowBlank="1" showInputMessage="1" showErrorMessage="1" sqref="M3:M1005">
      <formula1>"OK,NOK"</formula1>
    </dataValidation>
    <dataValidation type="list" allowBlank="1" showInputMessage="1" showErrorMessage="1" sqref="C3:C1005">
      <formula1>"Aseg. Calidad,Calidad,Mantenimiento,Procesos,Producción"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Listas!$G$2:$G$16</xm:f>
          </x14:formula1>
          <xm:sqref>B4:B110</xm:sqref>
        </x14:dataValidation>
        <x14:dataValidation type="list" allowBlank="1" showInputMessage="1" showErrorMessage="1">
          <x14:formula1>
            <xm:f>Listas!$G$2:$G$40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1"/>
  </sheetPr>
  <dimension ref="B1:R44"/>
  <sheetViews>
    <sheetView showGridLines="0" zoomScaleNormal="100" workbookViewId="0">
      <selection activeCell="K3" sqref="K3:L3"/>
    </sheetView>
  </sheetViews>
  <sheetFormatPr baseColWidth="10" defaultRowHeight="14.4" x14ac:dyDescent="0.3"/>
  <cols>
    <col min="1" max="1" width="0.77734375" customWidth="1"/>
    <col min="7" max="7" width="0.77734375" customWidth="1"/>
    <col min="13" max="13" width="0.6640625" customWidth="1"/>
  </cols>
  <sheetData>
    <row r="1" spans="2:18" ht="36.6" x14ac:dyDescent="0.3">
      <c r="B1" s="10"/>
      <c r="C1" s="10"/>
      <c r="D1" s="81" t="s">
        <v>78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79" t="str">
        <f>+Inicio!K1</f>
        <v>Fusión&amp;Molino, SSCC</v>
      </c>
      <c r="P1" s="79"/>
      <c r="Q1" s="79"/>
      <c r="R1" s="79"/>
    </row>
    <row r="2" spans="2:18" ht="4.2" customHeight="1" thickBot="1" x14ac:dyDescent="0.35"/>
    <row r="3" spans="2:18" ht="19.2" customHeight="1" thickBot="1" x14ac:dyDescent="0.35">
      <c r="B3" s="86" t="str">
        <f ca="1">+Indicadores!C12</f>
        <v>-</v>
      </c>
      <c r="C3" s="86"/>
      <c r="D3" s="86"/>
      <c r="E3" s="86"/>
      <c r="F3" s="86"/>
      <c r="H3" s="87" t="s">
        <v>76</v>
      </c>
      <c r="I3" s="88"/>
      <c r="J3" s="88"/>
      <c r="K3" s="84" t="s">
        <v>58</v>
      </c>
      <c r="L3" s="85"/>
      <c r="N3" s="16"/>
      <c r="O3" s="16"/>
      <c r="P3" s="16"/>
      <c r="Q3" s="16"/>
      <c r="R3" s="16"/>
    </row>
    <row r="4" spans="2:18" ht="19.2" customHeight="1" x14ac:dyDescent="0.3">
      <c r="B4" s="86"/>
      <c r="C4" s="86"/>
      <c r="D4" s="86"/>
      <c r="E4" s="86"/>
      <c r="F4" s="86"/>
      <c r="H4" s="16"/>
      <c r="I4" s="16"/>
      <c r="J4" s="16"/>
      <c r="K4" s="16"/>
      <c r="L4" s="16"/>
      <c r="N4" s="16"/>
      <c r="O4" s="16"/>
      <c r="P4" s="16"/>
      <c r="Q4" s="16"/>
      <c r="R4" s="16"/>
    </row>
    <row r="5" spans="2:18" ht="19.2" customHeight="1" x14ac:dyDescent="0.3">
      <c r="B5" s="86"/>
      <c r="C5" s="86"/>
      <c r="D5" s="86"/>
      <c r="E5" s="86"/>
      <c r="F5" s="86"/>
      <c r="H5" s="16"/>
      <c r="I5" s="16"/>
      <c r="J5" s="16"/>
      <c r="K5" s="16"/>
      <c r="L5" s="16"/>
      <c r="N5" s="16"/>
      <c r="O5" s="16"/>
      <c r="P5" s="16"/>
      <c r="Q5" s="16"/>
      <c r="R5" s="16"/>
    </row>
    <row r="6" spans="2:18" ht="19.2" customHeight="1" x14ac:dyDescent="0.3">
      <c r="B6" s="86"/>
      <c r="C6" s="86"/>
      <c r="D6" s="86"/>
      <c r="E6" s="86"/>
      <c r="F6" s="86"/>
      <c r="H6" s="16"/>
      <c r="I6" s="16"/>
      <c r="J6" s="16"/>
      <c r="K6" s="16"/>
      <c r="L6" s="16"/>
      <c r="N6" s="16"/>
      <c r="O6" s="16"/>
      <c r="P6" s="16"/>
      <c r="Q6" s="16"/>
      <c r="R6" s="16"/>
    </row>
    <row r="7" spans="2:18" ht="19.2" customHeight="1" x14ac:dyDescent="0.3">
      <c r="B7" s="86"/>
      <c r="C7" s="86"/>
      <c r="D7" s="86"/>
      <c r="E7" s="86"/>
      <c r="F7" s="86"/>
      <c r="H7" s="16"/>
      <c r="I7" s="16"/>
      <c r="J7" s="16"/>
      <c r="K7" s="16"/>
      <c r="L7" s="16"/>
      <c r="N7" s="16"/>
      <c r="O7" s="16"/>
      <c r="P7" s="16"/>
      <c r="Q7" s="16"/>
      <c r="R7" s="16"/>
    </row>
    <row r="8" spans="2:18" ht="19.2" customHeight="1" x14ac:dyDescent="0.3">
      <c r="B8" s="86"/>
      <c r="C8" s="86"/>
      <c r="D8" s="86"/>
      <c r="E8" s="86"/>
      <c r="F8" s="86"/>
      <c r="H8" s="16"/>
      <c r="I8" s="16"/>
      <c r="J8" s="16"/>
      <c r="K8" s="16"/>
      <c r="L8" s="16"/>
      <c r="N8" s="16"/>
      <c r="O8" s="16"/>
      <c r="P8" s="16"/>
      <c r="Q8" s="16"/>
      <c r="R8" s="16"/>
    </row>
    <row r="9" spans="2:18" ht="19.2" customHeight="1" x14ac:dyDescent="0.3">
      <c r="B9" s="86"/>
      <c r="C9" s="86"/>
      <c r="D9" s="86"/>
      <c r="E9" s="86"/>
      <c r="F9" s="86"/>
      <c r="H9" s="16"/>
      <c r="I9" s="16"/>
      <c r="J9" s="16"/>
      <c r="K9" s="16"/>
      <c r="L9" s="16"/>
      <c r="N9" s="16"/>
      <c r="O9" s="16"/>
      <c r="P9" s="16"/>
      <c r="Q9" s="16"/>
      <c r="R9" s="16"/>
    </row>
    <row r="10" spans="2:18" ht="19.2" customHeight="1" x14ac:dyDescent="0.3">
      <c r="B10" s="82" t="s">
        <v>71</v>
      </c>
      <c r="C10" s="82"/>
      <c r="D10" s="82"/>
      <c r="E10" s="82"/>
      <c r="F10" s="82"/>
      <c r="H10" s="16"/>
      <c r="I10" s="16"/>
      <c r="J10" s="16"/>
      <c r="K10" s="16"/>
      <c r="L10" s="16"/>
      <c r="N10" s="16"/>
      <c r="O10" s="16"/>
      <c r="P10" s="16"/>
      <c r="Q10" s="16"/>
      <c r="R10" s="16"/>
    </row>
    <row r="11" spans="2:18" ht="19.2" customHeight="1" x14ac:dyDescent="0.3">
      <c r="B11" s="82"/>
      <c r="C11" s="82"/>
      <c r="D11" s="82"/>
      <c r="E11" s="82"/>
      <c r="F11" s="82"/>
      <c r="H11" s="16"/>
      <c r="I11" s="16"/>
      <c r="J11" s="16"/>
      <c r="K11" s="16"/>
      <c r="L11" s="16"/>
      <c r="N11" s="16"/>
      <c r="O11" s="16"/>
      <c r="P11" s="16"/>
      <c r="Q11" s="16"/>
      <c r="R11" s="16"/>
    </row>
    <row r="12" spans="2:18" ht="19.2" customHeight="1" x14ac:dyDescent="0.3">
      <c r="B12" s="83" t="s">
        <v>75</v>
      </c>
      <c r="C12" s="83"/>
      <c r="D12" s="83"/>
      <c r="E12" s="83"/>
      <c r="F12" s="83"/>
      <c r="H12" s="16"/>
      <c r="I12" s="16"/>
      <c r="J12" s="16"/>
      <c r="K12" s="16"/>
      <c r="L12" s="16"/>
      <c r="N12" s="16"/>
      <c r="O12" s="16"/>
      <c r="P12" s="16"/>
      <c r="Q12" s="16"/>
      <c r="R12" s="16"/>
    </row>
    <row r="13" spans="2:18" ht="19.2" customHeight="1" x14ac:dyDescent="0.3">
      <c r="B13" s="83"/>
      <c r="C13" s="83"/>
      <c r="D13" s="83"/>
      <c r="E13" s="83"/>
      <c r="F13" s="83"/>
      <c r="H13" s="16"/>
      <c r="I13" s="16"/>
      <c r="J13" s="16"/>
      <c r="K13" s="16"/>
      <c r="L13" s="16"/>
      <c r="N13" s="16"/>
      <c r="O13" s="16"/>
      <c r="P13" s="16"/>
      <c r="Q13" s="16"/>
      <c r="R13" s="16"/>
    </row>
    <row r="14" spans="2:18" ht="4.2" customHeight="1" x14ac:dyDescent="0.3">
      <c r="H14" s="16"/>
      <c r="I14" s="16"/>
      <c r="J14" s="16"/>
      <c r="K14" s="16"/>
      <c r="L14" s="16"/>
      <c r="N14" s="16"/>
      <c r="O14" s="16"/>
      <c r="P14" s="16"/>
      <c r="Q14" s="16"/>
      <c r="R14" s="16"/>
    </row>
    <row r="15" spans="2:18" ht="19.2" customHeight="1" x14ac:dyDescent="0.3">
      <c r="B15" s="86" t="str">
        <f ca="1">+Indicadores!C13</f>
        <v>-</v>
      </c>
      <c r="C15" s="86"/>
      <c r="D15" s="86"/>
      <c r="E15" s="86"/>
      <c r="F15" s="86"/>
      <c r="H15" s="16"/>
      <c r="I15" s="16"/>
      <c r="J15" s="16"/>
      <c r="K15" s="16"/>
      <c r="L15" s="16"/>
      <c r="N15" s="16"/>
      <c r="O15" s="16"/>
      <c r="P15" s="16"/>
      <c r="Q15" s="16"/>
      <c r="R15" s="16"/>
    </row>
    <row r="16" spans="2:18" ht="19.2" customHeight="1" x14ac:dyDescent="0.3">
      <c r="B16" s="86"/>
      <c r="C16" s="86"/>
      <c r="D16" s="86"/>
      <c r="E16" s="86"/>
      <c r="F16" s="86"/>
      <c r="H16" s="16"/>
      <c r="I16" s="16"/>
      <c r="J16" s="16"/>
      <c r="K16" s="16"/>
      <c r="L16" s="16"/>
      <c r="N16" s="16"/>
      <c r="O16" s="16"/>
      <c r="P16" s="16"/>
      <c r="Q16" s="16"/>
      <c r="R16" s="16"/>
    </row>
    <row r="17" spans="2:18" ht="19.2" customHeight="1" x14ac:dyDescent="0.3">
      <c r="B17" s="86"/>
      <c r="C17" s="86"/>
      <c r="D17" s="86"/>
      <c r="E17" s="86"/>
      <c r="F17" s="86"/>
      <c r="H17" s="16"/>
      <c r="I17" s="16"/>
      <c r="J17" s="16"/>
      <c r="K17" s="16"/>
      <c r="L17" s="16"/>
      <c r="N17" s="16"/>
      <c r="O17" s="16"/>
      <c r="P17" s="16"/>
      <c r="Q17" s="16"/>
      <c r="R17" s="16"/>
    </row>
    <row r="18" spans="2:18" ht="19.2" customHeight="1" x14ac:dyDescent="0.3">
      <c r="B18" s="86"/>
      <c r="C18" s="86"/>
      <c r="D18" s="86"/>
      <c r="E18" s="86"/>
      <c r="F18" s="86"/>
      <c r="H18" s="16"/>
      <c r="I18" s="16"/>
      <c r="J18" s="16"/>
      <c r="K18" s="16"/>
      <c r="L18" s="16"/>
      <c r="N18" s="16"/>
      <c r="O18" s="16"/>
      <c r="P18" s="16"/>
      <c r="Q18" s="16"/>
      <c r="R18" s="16"/>
    </row>
    <row r="19" spans="2:18" ht="19.2" customHeight="1" x14ac:dyDescent="0.3">
      <c r="B19" s="86"/>
      <c r="C19" s="86"/>
      <c r="D19" s="86"/>
      <c r="E19" s="86"/>
      <c r="F19" s="86"/>
      <c r="H19" s="16"/>
      <c r="I19" s="16"/>
      <c r="J19" s="16"/>
      <c r="K19" s="16"/>
      <c r="L19" s="16"/>
      <c r="N19" s="16"/>
      <c r="O19" s="16"/>
      <c r="P19" s="16"/>
      <c r="Q19" s="16"/>
      <c r="R19" s="16"/>
    </row>
    <row r="20" spans="2:18" ht="19.2" customHeight="1" x14ac:dyDescent="0.3">
      <c r="B20" s="86"/>
      <c r="C20" s="86"/>
      <c r="D20" s="86"/>
      <c r="E20" s="86"/>
      <c r="F20" s="86"/>
      <c r="H20" s="16"/>
      <c r="I20" s="16"/>
      <c r="J20" s="16"/>
      <c r="K20" s="16"/>
      <c r="L20" s="16"/>
      <c r="N20" s="16"/>
      <c r="O20" s="16"/>
      <c r="P20" s="16"/>
      <c r="Q20" s="16"/>
      <c r="R20" s="16"/>
    </row>
    <row r="21" spans="2:18" ht="19.2" customHeight="1" x14ac:dyDescent="0.3">
      <c r="B21" s="86"/>
      <c r="C21" s="86"/>
      <c r="D21" s="86"/>
      <c r="E21" s="86"/>
      <c r="F21" s="86"/>
      <c r="H21" s="16"/>
      <c r="I21" s="16"/>
      <c r="J21" s="16"/>
      <c r="K21" s="16"/>
      <c r="L21" s="16"/>
      <c r="N21" s="16"/>
      <c r="O21" s="16"/>
      <c r="P21" s="16"/>
      <c r="Q21" s="16"/>
      <c r="R21" s="16"/>
    </row>
    <row r="22" spans="2:18" ht="19.2" customHeight="1" x14ac:dyDescent="0.3">
      <c r="B22" s="82" t="s">
        <v>70</v>
      </c>
      <c r="C22" s="82"/>
      <c r="D22" s="82"/>
      <c r="E22" s="82"/>
      <c r="F22" s="82"/>
      <c r="H22" s="82" t="s">
        <v>60</v>
      </c>
      <c r="I22" s="82"/>
      <c r="J22" s="82"/>
      <c r="K22" s="82"/>
      <c r="L22" s="82"/>
      <c r="N22" s="82" t="s">
        <v>73</v>
      </c>
      <c r="O22" s="82"/>
      <c r="P22" s="82"/>
      <c r="Q22" s="82"/>
      <c r="R22" s="82"/>
    </row>
    <row r="23" spans="2:18" ht="19.2" customHeight="1" x14ac:dyDescent="0.3">
      <c r="B23" s="82"/>
      <c r="C23" s="82"/>
      <c r="D23" s="82"/>
      <c r="E23" s="82"/>
      <c r="F23" s="82"/>
      <c r="H23" s="82"/>
      <c r="I23" s="82"/>
      <c r="J23" s="82"/>
      <c r="K23" s="82"/>
      <c r="L23" s="82"/>
      <c r="N23" s="82"/>
      <c r="O23" s="82"/>
      <c r="P23" s="82"/>
      <c r="Q23" s="82"/>
      <c r="R23" s="82"/>
    </row>
    <row r="24" spans="2:18" ht="19.2" customHeight="1" x14ac:dyDescent="0.3">
      <c r="B24" s="83" t="s">
        <v>74</v>
      </c>
      <c r="C24" s="83"/>
      <c r="D24" s="83"/>
      <c r="E24" s="83"/>
      <c r="F24" s="83"/>
      <c r="H24" s="83" t="s">
        <v>61</v>
      </c>
      <c r="I24" s="83"/>
      <c r="J24" s="83"/>
      <c r="K24" s="83"/>
      <c r="L24" s="83"/>
      <c r="N24" s="83" t="s">
        <v>82</v>
      </c>
      <c r="O24" s="83"/>
      <c r="P24" s="83"/>
      <c r="Q24" s="83"/>
      <c r="R24" s="83"/>
    </row>
    <row r="25" spans="2:18" ht="19.2" customHeight="1" x14ac:dyDescent="0.3">
      <c r="B25" s="83"/>
      <c r="C25" s="83"/>
      <c r="D25" s="83"/>
      <c r="E25" s="83"/>
      <c r="F25" s="83"/>
      <c r="H25" s="83"/>
      <c r="I25" s="83"/>
      <c r="J25" s="83"/>
      <c r="K25" s="83"/>
      <c r="L25" s="83"/>
      <c r="N25" s="83"/>
      <c r="O25" s="83"/>
      <c r="P25" s="83"/>
      <c r="Q25" s="83"/>
      <c r="R25" s="83"/>
    </row>
    <row r="26" spans="2:18" ht="3.6" customHeight="1" x14ac:dyDescent="0.3"/>
    <row r="27" spans="2:18" x14ac:dyDescent="0.3"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</row>
    <row r="28" spans="2:18" x14ac:dyDescent="0.3"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</row>
    <row r="29" spans="2:18" x14ac:dyDescent="0.3"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</row>
    <row r="30" spans="2:18" x14ac:dyDescent="0.3"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</row>
    <row r="31" spans="2:18" x14ac:dyDescent="0.3"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</row>
    <row r="32" spans="2:18" x14ac:dyDescent="0.3"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</row>
    <row r="33" spans="2:18" x14ac:dyDescent="0.3"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</row>
    <row r="34" spans="2:18" x14ac:dyDescent="0.3"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</row>
    <row r="35" spans="2:18" x14ac:dyDescent="0.3"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</row>
    <row r="36" spans="2:18" x14ac:dyDescent="0.3"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</row>
    <row r="37" spans="2:18" x14ac:dyDescent="0.3"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</row>
    <row r="38" spans="2:18" x14ac:dyDescent="0.3"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</row>
    <row r="39" spans="2:18" x14ac:dyDescent="0.3"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</row>
    <row r="40" spans="2:18" x14ac:dyDescent="0.3"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</row>
    <row r="41" spans="2:18" ht="14.4" customHeight="1" x14ac:dyDescent="0.3">
      <c r="B41" s="82" t="s">
        <v>87</v>
      </c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</row>
    <row r="42" spans="2:18" ht="14.4" customHeight="1" x14ac:dyDescent="0.3"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</row>
    <row r="43" spans="2:18" ht="14.4" customHeight="1" x14ac:dyDescent="0.3">
      <c r="B43" s="83" t="s">
        <v>88</v>
      </c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</row>
    <row r="44" spans="2:18" ht="14.4" customHeight="1" x14ac:dyDescent="0.3"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</row>
  </sheetData>
  <sheetProtection sheet="1" objects="1" scenarios="1"/>
  <customSheetViews>
    <customSheetView guid="{B60C2B29-843E-4A3D-B0FD-F091A51CE9F0}" showGridLines="0">
      <selection activeCell="K3" sqref="K3:L3"/>
      <pageMargins left="0.7" right="0.7" top="0.75" bottom="0.75" header="0.3" footer="0.3"/>
    </customSheetView>
  </customSheetViews>
  <mergeCells count="16">
    <mergeCell ref="O1:R1"/>
    <mergeCell ref="D1:N1"/>
    <mergeCell ref="B41:R42"/>
    <mergeCell ref="B43:R44"/>
    <mergeCell ref="K3:L3"/>
    <mergeCell ref="B3:F9"/>
    <mergeCell ref="B24:F25"/>
    <mergeCell ref="H24:L25"/>
    <mergeCell ref="H3:J3"/>
    <mergeCell ref="N22:R23"/>
    <mergeCell ref="N24:R25"/>
    <mergeCell ref="B12:F13"/>
    <mergeCell ref="B15:F21"/>
    <mergeCell ref="B22:F23"/>
    <mergeCell ref="H22:L23"/>
    <mergeCell ref="B10:F1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Indicadores!$I$1:$I$40</xm:f>
          </x14:formula1>
          <xm:sqref>K3:L3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40"/>
  <sheetViews>
    <sheetView topLeftCell="A13" workbookViewId="0">
      <selection activeCell="K13" sqref="K13"/>
    </sheetView>
  </sheetViews>
  <sheetFormatPr baseColWidth="10" defaultRowHeight="14.4" x14ac:dyDescent="0.3"/>
  <cols>
    <col min="1" max="1" width="10.109375" bestFit="1" customWidth="1"/>
    <col min="2" max="2" width="28.109375" bestFit="1" customWidth="1"/>
    <col min="3" max="3" width="9.33203125" bestFit="1" customWidth="1"/>
    <col min="4" max="4" width="9.21875" bestFit="1" customWidth="1"/>
    <col min="5" max="5" width="18.77734375" bestFit="1" customWidth="1"/>
    <col min="6" max="6" width="17.44140625" bestFit="1" customWidth="1"/>
    <col min="7" max="7" width="12" bestFit="1" customWidth="1"/>
    <col min="8" max="8" width="3" bestFit="1" customWidth="1"/>
    <col min="9" max="9" width="8.88671875" bestFit="1" customWidth="1"/>
    <col min="10" max="10" width="9.88671875" bestFit="1" customWidth="1"/>
  </cols>
  <sheetData>
    <row r="1" spans="1:12" x14ac:dyDescent="0.3">
      <c r="B1" t="s">
        <v>62</v>
      </c>
      <c r="F1" t="s">
        <v>57</v>
      </c>
      <c r="G1" t="str">
        <f>+Tablero!K3</f>
        <v>Todo</v>
      </c>
      <c r="H1" t="str">
        <f>+VLOOKUP(G1,I1:J14,2,FALSE)</f>
        <v>&lt;&gt;</v>
      </c>
      <c r="I1" s="8" t="s">
        <v>58</v>
      </c>
      <c r="J1" s="9" t="str">
        <f>+IF(ISBLANK(I1)=TRUE," ","&lt;&gt;")</f>
        <v>&lt;&gt;</v>
      </c>
    </row>
    <row r="2" spans="1:12" x14ac:dyDescent="0.3">
      <c r="C2" s="89" t="s">
        <v>49</v>
      </c>
      <c r="D2" s="89"/>
      <c r="E2" s="89"/>
      <c r="F2" s="89"/>
      <c r="G2" s="89"/>
      <c r="H2" s="13"/>
      <c r="I2" s="12" t="str">
        <f>+Inicio!E8</f>
        <v xml:space="preserve"> </v>
      </c>
      <c r="J2" s="12" t="str">
        <f>+IF(I2=" "," ","="&amp;I2)</f>
        <v xml:space="preserve"> </v>
      </c>
      <c r="K2" s="13"/>
      <c r="L2" s="13"/>
    </row>
    <row r="3" spans="1:12" x14ac:dyDescent="0.3">
      <c r="C3" t="s">
        <v>51</v>
      </c>
      <c r="D3" t="s">
        <v>52</v>
      </c>
      <c r="E3" t="s">
        <v>53</v>
      </c>
      <c r="F3" t="s">
        <v>54</v>
      </c>
      <c r="G3" t="s">
        <v>55</v>
      </c>
      <c r="I3" s="12" t="str">
        <f>+Inicio!E9</f>
        <v xml:space="preserve"> </v>
      </c>
      <c r="J3" s="12" t="str">
        <f t="shared" ref="J3:J40" si="0">+IF(I3=" "," ","="&amp;I3)</f>
        <v xml:space="preserve"> </v>
      </c>
    </row>
    <row r="4" spans="1:12" x14ac:dyDescent="0.3">
      <c r="A4" t="s">
        <v>56</v>
      </c>
      <c r="B4" t="str">
        <f>+A4</f>
        <v>Acumulado</v>
      </c>
      <c r="C4">
        <f ca="1">+COUNTIFS(Acciones!$G$3:$G$1005,"&lt;&gt;",Acciones!$K$3:$K$1005,"="&amp;C$3,Acciones!$B$3:$B$1005,$H$1)</f>
        <v>0</v>
      </c>
      <c r="D4">
        <f ca="1">+COUNTIFS(Acciones!$G$3:$G$1005,"&lt;&gt;",Acciones!$K$3:$K$1005,"="&amp;D$3,Acciones!$B$3:$B$1005,$H$1)</f>
        <v>0</v>
      </c>
      <c r="E4">
        <f ca="1">+COUNTIFS(Acciones!$G$3:$G$1005,"&lt;&gt;",Acciones!$K$3:$K$1005,"="&amp;E$3,Acciones!$B$3:$B$1005,$H$1)</f>
        <v>0</v>
      </c>
      <c r="F4">
        <f ca="1">+COUNTIFS(Acciones!$G$3:$G$1005,"&lt;&gt;",Acciones!$K$3:$K$1005,"="&amp;F$3,Acciones!$B$3:$B$1005,$H$1)</f>
        <v>0</v>
      </c>
      <c r="G4">
        <f ca="1">+COUNTIFS(Acciones!$G$3:$G$1005,"&lt;&gt;",Acciones!$K$3:$K$1005,"="&amp;G$3,Acciones!$B$3:$B$1005,$H$1)</f>
        <v>0</v>
      </c>
      <c r="I4" s="12" t="str">
        <f>+Inicio!E10</f>
        <v xml:space="preserve"> </v>
      </c>
      <c r="J4" s="12" t="str">
        <f t="shared" si="0"/>
        <v xml:space="preserve"> </v>
      </c>
    </row>
    <row r="5" spans="1:12" x14ac:dyDescent="0.3">
      <c r="A5">
        <f ca="1">+WEEKNUM(TODAY(),21)-5</f>
        <v>35</v>
      </c>
      <c r="B5" t="str">
        <f ca="1">+"Semana "&amp;A5</f>
        <v>Semana 35</v>
      </c>
      <c r="C5">
        <f ca="1">+COUNTIFS(Acciones!$G$3:$G$1005,"="&amp;$A5,Acciones!$K$3:$K$1005,"="&amp;C$3,Acciones!$B$3:$B$1005,$H$1)</f>
        <v>0</v>
      </c>
      <c r="D5">
        <f ca="1">+COUNTIFS(Acciones!$G$3:$G$1005,"="&amp;$A5,Acciones!$K$3:$K$1005,"="&amp;D$3,Acciones!$B$3:$B$1005,$H$1)</f>
        <v>0</v>
      </c>
      <c r="E5">
        <f ca="1">+COUNTIFS(Acciones!$G$3:$G$1005,"="&amp;$A5,Acciones!$K$3:$K$1005,"="&amp;E$3,Acciones!$B$3:$B$1005,$H$1)</f>
        <v>0</v>
      </c>
      <c r="F5">
        <f ca="1">+COUNTIFS(Acciones!$G$3:$G$1005,"="&amp;$A5,Acciones!$K$3:$K$1005,"="&amp;F$3,Acciones!$B$3:$B$1005,$H$1)</f>
        <v>0</v>
      </c>
      <c r="G5">
        <f ca="1">+COUNTIFS(Acciones!$G$3:$G$1005,"="&amp;$A5,Acciones!$K$3:$K$1005,"="&amp;G$3,Acciones!$B$3:$B$1005,$H$1)</f>
        <v>0</v>
      </c>
      <c r="I5" s="12" t="str">
        <f>+Inicio!E11</f>
        <v xml:space="preserve"> </v>
      </c>
      <c r="J5" s="12" t="str">
        <f t="shared" si="0"/>
        <v xml:space="preserve"> </v>
      </c>
    </row>
    <row r="6" spans="1:12" x14ac:dyDescent="0.3">
      <c r="A6">
        <f ca="1">+WEEKNUM(TODAY(),21)-4</f>
        <v>36</v>
      </c>
      <c r="B6" t="str">
        <f ca="1">+"Semana "&amp;A6</f>
        <v>Semana 36</v>
      </c>
      <c r="C6">
        <f ca="1">+COUNTIFS(Acciones!$G$3:$G$1005,"="&amp;$A6,Acciones!$K$3:$K$1005,"="&amp;C$3,Acciones!$B$3:$B$1005,$H$1)</f>
        <v>0</v>
      </c>
      <c r="D6">
        <f ca="1">+COUNTIFS(Acciones!$G$3:$G$1005,"="&amp;$A6,Acciones!$K$3:$K$1005,"="&amp;D$3,Acciones!$B$3:$B$1005,$H$1)</f>
        <v>0</v>
      </c>
      <c r="E6">
        <f ca="1">+COUNTIFS(Acciones!$G$3:$G$1005,"="&amp;$A6,Acciones!$K$3:$K$1005,"="&amp;E$3,Acciones!$B$3:$B$1005,$H$1)</f>
        <v>0</v>
      </c>
      <c r="F6">
        <f ca="1">+COUNTIFS(Acciones!$G$3:$G$1005,"="&amp;$A6,Acciones!$K$3:$K$1005,"="&amp;F$3,Acciones!$B$3:$B$1005,$H$1)</f>
        <v>0</v>
      </c>
      <c r="G6">
        <f ca="1">+COUNTIFS(Acciones!$G$3:$G$1005,"="&amp;$A6,Acciones!$K$3:$K$1005,"="&amp;G$3,Acciones!$B$3:$B$1005,$H$1)</f>
        <v>0</v>
      </c>
      <c r="I6" s="12" t="str">
        <f>+Inicio!E12</f>
        <v xml:space="preserve"> </v>
      </c>
      <c r="J6" s="12" t="str">
        <f t="shared" si="0"/>
        <v xml:space="preserve"> </v>
      </c>
    </row>
    <row r="7" spans="1:12" x14ac:dyDescent="0.3">
      <c r="A7">
        <f ca="1">+WEEKNUM(TODAY(),21)-3</f>
        <v>37</v>
      </c>
      <c r="B7" t="str">
        <f ca="1">+"Semana "&amp;A7</f>
        <v>Semana 37</v>
      </c>
      <c r="C7">
        <f ca="1">+COUNTIFS(Acciones!$G$3:$G$1005,"="&amp;$A7,Acciones!$K$3:$K$1005,"="&amp;C$3,Acciones!$B$3:$B$1005,$H$1)</f>
        <v>0</v>
      </c>
      <c r="D7">
        <f ca="1">+COUNTIFS(Acciones!$G$3:$G$1005,"="&amp;$A7,Acciones!$K$3:$K$1005,"="&amp;D$3,Acciones!$B$3:$B$1005,$H$1)</f>
        <v>0</v>
      </c>
      <c r="E7">
        <f ca="1">+COUNTIFS(Acciones!$G$3:$G$1005,"="&amp;$A7,Acciones!$K$3:$K$1005,"="&amp;E$3,Acciones!$B$3:$B$1005,$H$1)</f>
        <v>0</v>
      </c>
      <c r="F7">
        <f ca="1">+COUNTIFS(Acciones!$G$3:$G$1005,"="&amp;$A7,Acciones!$K$3:$K$1005,"="&amp;F$3,Acciones!$B$3:$B$1005,$H$1)</f>
        <v>0</v>
      </c>
      <c r="G7">
        <f ca="1">+COUNTIFS(Acciones!$G$3:$G$1005,"="&amp;$A7,Acciones!$K$3:$K$1005,"="&amp;G$3,Acciones!$B$3:$B$1005,$H$1)</f>
        <v>0</v>
      </c>
      <c r="I7" s="12" t="str">
        <f>+Inicio!E13</f>
        <v xml:space="preserve"> </v>
      </c>
      <c r="J7" s="12" t="str">
        <f t="shared" si="0"/>
        <v xml:space="preserve"> </v>
      </c>
    </row>
    <row r="8" spans="1:12" x14ac:dyDescent="0.3">
      <c r="A8">
        <f ca="1">+WEEKNUM(TODAY(),21)-2</f>
        <v>38</v>
      </c>
      <c r="B8" t="str">
        <f ca="1">+"Semana "&amp;A8</f>
        <v>Semana 38</v>
      </c>
      <c r="C8">
        <f ca="1">+COUNTIFS(Acciones!$G$3:$G$1005,"="&amp;$A8,Acciones!$K$3:$K$1005,"="&amp;C$3,Acciones!$B$3:$B$1005,$H$1)</f>
        <v>0</v>
      </c>
      <c r="D8">
        <f ca="1">+COUNTIFS(Acciones!$G$3:$G$1005,"="&amp;$A8,Acciones!$K$3:$K$1005,"="&amp;D$3,Acciones!$B$3:$B$1005,$H$1)</f>
        <v>0</v>
      </c>
      <c r="E8">
        <f ca="1">+COUNTIFS(Acciones!$G$3:$G$1005,"="&amp;$A8,Acciones!$K$3:$K$1005,"="&amp;E$3,Acciones!$B$3:$B$1005,$H$1)</f>
        <v>0</v>
      </c>
      <c r="F8">
        <f ca="1">+COUNTIFS(Acciones!$G$3:$G$1005,"="&amp;$A8,Acciones!$K$3:$K$1005,"="&amp;F$3,Acciones!$B$3:$B$1005,$H$1)</f>
        <v>0</v>
      </c>
      <c r="G8">
        <f ca="1">+COUNTIFS(Acciones!$G$3:$G$1005,"="&amp;$A8,Acciones!$K$3:$K$1005,"="&amp;G$3,Acciones!$B$3:$B$1005,$H$1)</f>
        <v>0</v>
      </c>
      <c r="I8" s="12" t="str">
        <f>+Inicio!E14</f>
        <v xml:space="preserve"> </v>
      </c>
      <c r="J8" s="12" t="str">
        <f t="shared" si="0"/>
        <v xml:space="preserve"> </v>
      </c>
    </row>
    <row r="9" spans="1:12" x14ac:dyDescent="0.3">
      <c r="A9">
        <f ca="1">+WEEKNUM(TODAY(),21)-1</f>
        <v>39</v>
      </c>
      <c r="B9" t="str">
        <f ca="1">+"Semana "&amp;A9</f>
        <v>Semana 39</v>
      </c>
      <c r="C9">
        <f ca="1">+COUNTIFS(Acciones!$G$3:$G$1005,"="&amp;$A9,Acciones!$K$3:$K$1005,"="&amp;C$3,Acciones!$B$3:$B$1005,$H$1)</f>
        <v>0</v>
      </c>
      <c r="D9">
        <f ca="1">+COUNTIFS(Acciones!$G$3:$G$1005,"="&amp;$A9,Acciones!$K$3:$K$1005,"="&amp;D$3,Acciones!$B$3:$B$1005,$H$1)</f>
        <v>0</v>
      </c>
      <c r="E9">
        <f ca="1">+COUNTIFS(Acciones!$G$3:$G$1005,"="&amp;$A9,Acciones!$K$3:$K$1005,"="&amp;E$3,Acciones!$B$3:$B$1005,$H$1)</f>
        <v>0</v>
      </c>
      <c r="F9">
        <f ca="1">+COUNTIFS(Acciones!$G$3:$G$1005,"="&amp;$A9,Acciones!$K$3:$K$1005,"="&amp;F$3,Acciones!$B$3:$B$1005,$H$1)</f>
        <v>0</v>
      </c>
      <c r="G9">
        <f ca="1">+COUNTIFS(Acciones!$G$3:$G$1005,"="&amp;$A9,Acciones!$K$3:$K$1005,"="&amp;G$3,Acciones!$B$3:$B$1005,$H$1)</f>
        <v>0</v>
      </c>
      <c r="I9" s="12" t="str">
        <f>+Inicio!E15</f>
        <v xml:space="preserve"> </v>
      </c>
      <c r="J9" s="12" t="str">
        <f t="shared" si="0"/>
        <v xml:space="preserve"> </v>
      </c>
    </row>
    <row r="10" spans="1:12" x14ac:dyDescent="0.3">
      <c r="I10" s="12" t="str">
        <f>+Inicio!E16</f>
        <v xml:space="preserve"> </v>
      </c>
      <c r="J10" s="12" t="str">
        <f t="shared" si="0"/>
        <v xml:space="preserve"> </v>
      </c>
    </row>
    <row r="11" spans="1:12" x14ac:dyDescent="0.3">
      <c r="I11" s="12" t="str">
        <f>+Inicio!E17</f>
        <v xml:space="preserve"> </v>
      </c>
      <c r="J11" s="12" t="str">
        <f t="shared" si="0"/>
        <v xml:space="preserve"> </v>
      </c>
    </row>
    <row r="12" spans="1:12" x14ac:dyDescent="0.3">
      <c r="B12" t="s">
        <v>68</v>
      </c>
      <c r="C12" s="17" t="str">
        <f ca="1">IFERROR(+SUM(E4:F4)/SUM(C4:G4),"-")</f>
        <v>-</v>
      </c>
      <c r="D12" s="18" t="e">
        <f ca="1">1-C12</f>
        <v>#VALUE!</v>
      </c>
      <c r="I12" s="12" t="str">
        <f>+Inicio!E18</f>
        <v xml:space="preserve"> </v>
      </c>
      <c r="J12" s="12" t="str">
        <f t="shared" si="0"/>
        <v xml:space="preserve"> </v>
      </c>
    </row>
    <row r="13" spans="1:12" x14ac:dyDescent="0.3">
      <c r="B13" t="s">
        <v>59</v>
      </c>
      <c r="C13" s="17" t="str">
        <f ca="1">IFERROR(C12/F13,"-")</f>
        <v>-</v>
      </c>
      <c r="D13" s="18" t="e">
        <f ca="1">1-C13</f>
        <v>#VALUE!</v>
      </c>
      <c r="E13" t="s">
        <v>72</v>
      </c>
      <c r="F13" s="17" t="e">
        <f ca="1">+SUM(C4,E4,F4)/SUM(C4:G4)</f>
        <v>#DIV/0!</v>
      </c>
      <c r="I13" s="12" t="str">
        <f>+Inicio!E19</f>
        <v xml:space="preserve"> </v>
      </c>
      <c r="J13" s="12" t="str">
        <f t="shared" si="0"/>
        <v xml:space="preserve"> </v>
      </c>
    </row>
    <row r="14" spans="1:12" x14ac:dyDescent="0.3">
      <c r="B14" t="s">
        <v>69</v>
      </c>
      <c r="I14" s="14" t="str">
        <f>+Inicio!E20</f>
        <v xml:space="preserve"> </v>
      </c>
      <c r="J14" s="15" t="str">
        <f t="shared" si="0"/>
        <v xml:space="preserve"> </v>
      </c>
    </row>
    <row r="15" spans="1:12" x14ac:dyDescent="0.3">
      <c r="C15" t="s">
        <v>51</v>
      </c>
      <c r="D15" t="s">
        <v>52</v>
      </c>
      <c r="E15" t="s">
        <v>53</v>
      </c>
      <c r="F15" t="s">
        <v>54</v>
      </c>
      <c r="G15" t="s">
        <v>55</v>
      </c>
      <c r="I15" s="14" t="str">
        <f>+Inicio!E21</f>
        <v xml:space="preserve"> </v>
      </c>
      <c r="J15" s="15" t="str">
        <f t="shared" si="0"/>
        <v xml:space="preserve"> </v>
      </c>
    </row>
    <row r="16" spans="1:12" x14ac:dyDescent="0.3">
      <c r="B16" t="s">
        <v>63</v>
      </c>
      <c r="C16">
        <f>+COUNTIFS(Acciones!$C$3:$C$1005,"="&amp;$B16,Acciones!$K$3:$K$1005,"="&amp;C$15,Acciones!$B$3:$B$1005,$H$1)</f>
        <v>0</v>
      </c>
      <c r="D16">
        <f>+COUNTIFS(Acciones!$C$3:$C$1005,"="&amp;$B16,Acciones!$K$3:$K$1005,"="&amp;D$15,Acciones!$B$3:$B$1005,$H$1)</f>
        <v>0</v>
      </c>
      <c r="E16">
        <f>+COUNTIFS(Acciones!$C$3:$C$1005,"="&amp;$B16,Acciones!$K$3:$K$1005,"="&amp;E$15,Acciones!$B$3:$B$1005,$H$1)</f>
        <v>0</v>
      </c>
      <c r="F16">
        <f>+COUNTIFS(Acciones!$C$3:$C$1005,"="&amp;$B16,Acciones!$K$3:$K$1005,"="&amp;F$15,Acciones!$B$3:$B$1005,$H$1)</f>
        <v>0</v>
      </c>
      <c r="G16">
        <f>+COUNTIFS(Acciones!$C$3:$C$1005,"="&amp;$B16,Acciones!$K$3:$K$1005,"="&amp;G$15,Acciones!$B$3:$B$1005,$H$1)</f>
        <v>0</v>
      </c>
      <c r="I16" s="14" t="str">
        <f>+Inicio!E22</f>
        <v xml:space="preserve"> </v>
      </c>
      <c r="J16" s="15" t="str">
        <f t="shared" si="0"/>
        <v xml:space="preserve"> </v>
      </c>
    </row>
    <row r="17" spans="1:10" x14ac:dyDescent="0.3">
      <c r="B17" t="s">
        <v>67</v>
      </c>
      <c r="C17">
        <f>+COUNTIFS(Acciones!$C$3:$C$1005,"="&amp;$B17,Acciones!$K$3:$K$1005,"="&amp;C$15,Acciones!$B$3:$B$1005,$H$1)</f>
        <v>0</v>
      </c>
      <c r="D17">
        <f>+COUNTIFS(Acciones!$C$3:$C$1005,"="&amp;$B17,Acciones!$K$3:$K$1005,"="&amp;D$15,Acciones!$B$3:$B$1005,$H$1)</f>
        <v>0</v>
      </c>
      <c r="E17">
        <f>+COUNTIFS(Acciones!$C$3:$C$1005,"="&amp;$B17,Acciones!$K$3:$K$1005,"="&amp;E$15,Acciones!$B$3:$B$1005,$H$1)</f>
        <v>0</v>
      </c>
      <c r="F17">
        <f>+COUNTIFS(Acciones!$C$3:$C$1005,"="&amp;$B17,Acciones!$K$3:$K$1005,"="&amp;F$15,Acciones!$B$3:$B$1005,$H$1)</f>
        <v>0</v>
      </c>
      <c r="G17">
        <f>+COUNTIFS(Acciones!$C$3:$C$1005,"="&amp;$B17,Acciones!$K$3:$K$1005,"="&amp;G$15,Acciones!$B$3:$B$1005,$H$1)</f>
        <v>0</v>
      </c>
      <c r="I17" s="14" t="str">
        <f>+Inicio!E23</f>
        <v xml:space="preserve"> </v>
      </c>
      <c r="J17" s="15" t="str">
        <f t="shared" si="0"/>
        <v xml:space="preserve"> </v>
      </c>
    </row>
    <row r="18" spans="1:10" x14ac:dyDescent="0.3">
      <c r="B18" t="s">
        <v>118</v>
      </c>
      <c r="C18">
        <f>+COUNTIFS(Acciones!$C$3:$C$1005,"="&amp;$B18,Acciones!$K$3:$K$1005,"="&amp;C$15,Acciones!$B$3:$B$1005,$H$1)</f>
        <v>0</v>
      </c>
      <c r="D18">
        <f>+COUNTIFS(Acciones!$C$3:$C$1005,"="&amp;$B18,Acciones!$K$3:$K$1005,"="&amp;D$15,Acciones!$B$3:$B$1005,$H$1)</f>
        <v>0</v>
      </c>
      <c r="E18">
        <f>+COUNTIFS(Acciones!$C$3:$C$1005,"="&amp;$B18,Acciones!$K$3:$K$1005,"="&amp;E$15,Acciones!$B$3:$B$1005,$H$1)</f>
        <v>0</v>
      </c>
      <c r="F18">
        <f>+COUNTIFS(Acciones!$C$3:$C$1005,"="&amp;$B18,Acciones!$K$3:$K$1005,"="&amp;F$15,Acciones!$B$3:$B$1005,$H$1)</f>
        <v>0</v>
      </c>
      <c r="G18">
        <f>+COUNTIFS(Acciones!$C$3:$C$1005,"="&amp;$B18,Acciones!$K$3:$K$1005,"="&amp;G$15,Acciones!$B$3:$B$1005,$H$1)</f>
        <v>0</v>
      </c>
      <c r="I18" s="14" t="str">
        <f>+Inicio!E24</f>
        <v xml:space="preserve"> </v>
      </c>
      <c r="J18" s="15" t="str">
        <f t="shared" si="0"/>
        <v xml:space="preserve"> </v>
      </c>
    </row>
    <row r="19" spans="1:10" x14ac:dyDescent="0.3">
      <c r="B19" t="s">
        <v>119</v>
      </c>
      <c r="C19">
        <f>+COUNTIFS(Acciones!$C$3:$C$1005,"="&amp;$B19,Acciones!$K$3:$K$1005,"="&amp;C$15,Acciones!$B$3:$B$1005,$H$1)</f>
        <v>0</v>
      </c>
      <c r="D19">
        <f>+COUNTIFS(Acciones!$C$3:$C$1005,"="&amp;$B19,Acciones!$K$3:$K$1005,"="&amp;D$15,Acciones!$B$3:$B$1005,$H$1)</f>
        <v>0</v>
      </c>
      <c r="E19">
        <f>+COUNTIFS(Acciones!$C$3:$C$1005,"="&amp;$B19,Acciones!$K$3:$K$1005,"="&amp;E$15,Acciones!$B$3:$B$1005,$H$1)</f>
        <v>0</v>
      </c>
      <c r="F19">
        <f>+COUNTIFS(Acciones!$C$3:$C$1005,"="&amp;$B19,Acciones!$K$3:$K$1005,"="&amp;F$15,Acciones!$B$3:$B$1005,$H$1)</f>
        <v>0</v>
      </c>
      <c r="G19">
        <f>+COUNTIFS(Acciones!$C$3:$C$1005,"="&amp;$B19,Acciones!$K$3:$K$1005,"="&amp;G$15,Acciones!$B$3:$B$1005,$H$1)</f>
        <v>0</v>
      </c>
      <c r="I19" s="14" t="str">
        <f>+Inicio!E25</f>
        <v xml:space="preserve"> </v>
      </c>
      <c r="J19" s="15" t="str">
        <f t="shared" si="0"/>
        <v xml:space="preserve"> </v>
      </c>
    </row>
    <row r="20" spans="1:10" x14ac:dyDescent="0.3">
      <c r="B20" t="s">
        <v>64</v>
      </c>
      <c r="C20">
        <f>+COUNTIFS(Acciones!$C$3:$C$1005,"="&amp;$B20,Acciones!$K$3:$K$1005,"="&amp;C$15,Acciones!$B$3:$B$1005,$H$1)</f>
        <v>0</v>
      </c>
      <c r="D20">
        <f>+COUNTIFS(Acciones!$C$3:$C$1005,"="&amp;$B20,Acciones!$K$3:$K$1005,"="&amp;D$15,Acciones!$B$3:$B$1005,$H$1)</f>
        <v>0</v>
      </c>
      <c r="E20">
        <f>+COUNTIFS(Acciones!$C$3:$C$1005,"="&amp;$B20,Acciones!$K$3:$K$1005,"="&amp;E$15,Acciones!$B$3:$B$1005,$H$1)</f>
        <v>0</v>
      </c>
      <c r="F20">
        <f>+COUNTIFS(Acciones!$C$3:$C$1005,"="&amp;$B20,Acciones!$K$3:$K$1005,"="&amp;F$15,Acciones!$B$3:$B$1005,$H$1)</f>
        <v>0</v>
      </c>
      <c r="G20">
        <f>+COUNTIFS(Acciones!$C$3:$C$1005,"="&amp;$B20,Acciones!$K$3:$K$1005,"="&amp;G$15,Acciones!$B$3:$B$1005,$H$1)</f>
        <v>0</v>
      </c>
      <c r="I20" s="14" t="str">
        <f>+Inicio!E26</f>
        <v xml:space="preserve"> </v>
      </c>
      <c r="J20" s="15" t="str">
        <f t="shared" si="0"/>
        <v xml:space="preserve"> </v>
      </c>
    </row>
    <row r="21" spans="1:10" x14ac:dyDescent="0.3">
      <c r="B21" t="s">
        <v>65</v>
      </c>
      <c r="C21">
        <f>+COUNTIFS(Acciones!$C$3:$C$1005,"="&amp;$B21,Acciones!$K$3:$K$1005,"="&amp;C$15,Acciones!$B$3:$B$1005,$H$1)</f>
        <v>0</v>
      </c>
      <c r="D21">
        <f>+COUNTIFS(Acciones!$C$3:$C$1005,"="&amp;$B21,Acciones!$K$3:$K$1005,"="&amp;D$15,Acciones!$B$3:$B$1005,$H$1)</f>
        <v>0</v>
      </c>
      <c r="E21">
        <f>+COUNTIFS(Acciones!$C$3:$C$1005,"="&amp;$B21,Acciones!$K$3:$K$1005,"="&amp;E$15,Acciones!$B$3:$B$1005,$H$1)</f>
        <v>0</v>
      </c>
      <c r="F21">
        <f>+COUNTIFS(Acciones!$C$3:$C$1005,"="&amp;$B21,Acciones!$K$3:$K$1005,"="&amp;F$15,Acciones!$B$3:$B$1005,$H$1)</f>
        <v>0</v>
      </c>
      <c r="G21">
        <f>+COUNTIFS(Acciones!$C$3:$C$1005,"="&amp;$B21,Acciones!$K$3:$K$1005,"="&amp;G$15,Acciones!$B$3:$B$1005,$H$1)</f>
        <v>0</v>
      </c>
      <c r="I21" s="14" t="str">
        <f>+Inicio!E27</f>
        <v xml:space="preserve"> </v>
      </c>
      <c r="J21" s="15" t="str">
        <f t="shared" si="0"/>
        <v xml:space="preserve"> </v>
      </c>
    </row>
    <row r="22" spans="1:10" x14ac:dyDescent="0.3">
      <c r="B22" t="s">
        <v>66</v>
      </c>
      <c r="C22">
        <f>+COUNTIFS(Acciones!$C$3:$C$1005,"="&amp;$B22,Acciones!$K$3:$K$1005,"="&amp;C$15,Acciones!$B$3:$B$1005,$H$1)</f>
        <v>0</v>
      </c>
      <c r="D22">
        <f>+COUNTIFS(Acciones!$C$3:$C$1005,"="&amp;$B22,Acciones!$K$3:$K$1005,"="&amp;D$15,Acciones!$B$3:$B$1005,$H$1)</f>
        <v>0</v>
      </c>
      <c r="E22">
        <f>+COUNTIFS(Acciones!$C$3:$C$1005,"="&amp;$B22,Acciones!$K$3:$K$1005,"="&amp;E$15,Acciones!$B$3:$B$1005,$H$1)</f>
        <v>0</v>
      </c>
      <c r="F22">
        <f>+COUNTIFS(Acciones!$C$3:$C$1005,"="&amp;$B22,Acciones!$K$3:$K$1005,"="&amp;F$15,Acciones!$B$3:$B$1005,$H$1)</f>
        <v>0</v>
      </c>
      <c r="G22">
        <f>+COUNTIFS(Acciones!$C$3:$C$1005,"="&amp;$B22,Acciones!$K$3:$K$1005,"="&amp;G$15,Acciones!$B$3:$B$1005,$H$1)</f>
        <v>0</v>
      </c>
      <c r="I22" s="14" t="str">
        <f>+Inicio!E28</f>
        <v xml:space="preserve"> </v>
      </c>
      <c r="J22" s="15" t="str">
        <f t="shared" si="0"/>
        <v xml:space="preserve"> </v>
      </c>
    </row>
    <row r="23" spans="1:10" x14ac:dyDescent="0.3">
      <c r="I23" s="14" t="str">
        <f>+Inicio!E29</f>
        <v xml:space="preserve"> </v>
      </c>
      <c r="J23" s="15" t="str">
        <f t="shared" si="0"/>
        <v xml:space="preserve"> </v>
      </c>
    </row>
    <row r="24" spans="1:10" x14ac:dyDescent="0.3">
      <c r="B24" t="s">
        <v>85</v>
      </c>
      <c r="I24" s="14" t="str">
        <f>+Inicio!E30</f>
        <v xml:space="preserve"> </v>
      </c>
      <c r="J24" s="15" t="str">
        <f t="shared" si="0"/>
        <v xml:space="preserve"> </v>
      </c>
    </row>
    <row r="25" spans="1:10" x14ac:dyDescent="0.3">
      <c r="C25" t="s">
        <v>86</v>
      </c>
      <c r="D25" t="s">
        <v>49</v>
      </c>
      <c r="I25" s="14" t="str">
        <f>+Inicio!E31</f>
        <v xml:space="preserve"> </v>
      </c>
      <c r="J25" s="15" t="str">
        <f t="shared" si="0"/>
        <v xml:space="preserve"> </v>
      </c>
    </row>
    <row r="26" spans="1:10" x14ac:dyDescent="0.3">
      <c r="A26">
        <f ca="1">+WEEKNUM(TODAY(),21)-12</f>
        <v>28</v>
      </c>
      <c r="B26" t="str">
        <f t="shared" ref="B26:B36" ca="1" si="1">+"Semana "&amp;A26</f>
        <v>Semana 28</v>
      </c>
      <c r="C26" s="17" t="e">
        <f ca="1">(COUNTIFS(Acciones!$G$3:$G$1005,"&lt;="&amp;$A26,Acciones!$K$3:$K$1005,"Cerrado",Acciones!$B$3:$B$1005,$H$1)+COUNTIFS(Acciones!$G$3:$G$1005,"&lt;="&amp;$A26,Acciones!$K$3:$K$1005,"Cerrado con retraso",Acciones!$B$3:$B$1005,$H$1))/COUNTIFS(Acciones!$G$3:$G$1005,"&lt;&gt;",Acciones!$B$3:$B$1005,$H$1)</f>
        <v>#DIV/0!</v>
      </c>
      <c r="D26" s="17" t="e">
        <f ca="1">(COUNTIFS(Acciones!$G$3:$G$1005,"&lt;="&amp;$A26,Acciones!$K$3:$K$1005,"Cerrado",Acciones!$B$3:$B$1005,$H$1)+COUNTIFS(Acciones!$G$3:$G$1005,"&lt;="&amp;$A26,Acciones!$K$3:$K$1005,"Retrasado",Acciones!$B$3:$B$1005,$H$1)+COUNTIFS(Acciones!$G$3:$G$1005,"&lt;="&amp;$A26,Acciones!$K$3:$K$1005,"Cerrado con retraso",Acciones!$B$3:$B$1005,$H$1))/COUNTIFS(Acciones!$G$3:$G$1005,"&lt;&gt;",Acciones!$B$3:$B$1005,$H$1)</f>
        <v>#DIV/0!</v>
      </c>
      <c r="I26" s="14" t="str">
        <f>+Inicio!E32</f>
        <v xml:space="preserve"> </v>
      </c>
      <c r="J26" s="15" t="str">
        <f t="shared" si="0"/>
        <v xml:space="preserve"> </v>
      </c>
    </row>
    <row r="27" spans="1:10" x14ac:dyDescent="0.3">
      <c r="A27">
        <f ca="1">+WEEKNUM(TODAY(),21)-11</f>
        <v>29</v>
      </c>
      <c r="B27" t="str">
        <f t="shared" ca="1" si="1"/>
        <v>Semana 29</v>
      </c>
      <c r="C27" s="17" t="e">
        <f ca="1">(COUNTIFS(Acciones!$G$3:$G$1005,"&lt;="&amp;$A27,Acciones!$K$3:$K$1005,"Cerrado",Acciones!$B$3:$B$1005,$H$1)+COUNTIFS(Acciones!$G$3:$G$1005,"&lt;="&amp;$A27,Acciones!$K$3:$K$1005,"Cerrado con retraso",Acciones!$B$3:$B$1005,$H$1))/COUNTIFS(Acciones!$G$3:$G$1005,"&lt;&gt;",Acciones!$B$3:$B$1005,$H$1)</f>
        <v>#DIV/0!</v>
      </c>
      <c r="D27" s="17" t="e">
        <f ca="1">(COUNTIFS(Acciones!$G$3:$G$1005,"&lt;="&amp;$A27,Acciones!$K$3:$K$1005,"Cerrado",Acciones!$B$3:$B$1005,$H$1)+COUNTIFS(Acciones!$G$3:$G$1005,"&lt;="&amp;$A27,Acciones!$K$3:$K$1005,"Retrasado",Acciones!$B$3:$B$1005,$H$1)+COUNTIFS(Acciones!$G$3:$G$1005,"&lt;="&amp;$A27,Acciones!$K$3:$K$1005,"Cerrado con retraso",Acciones!$B$3:$B$1005,$H$1))/COUNTIFS(Acciones!$G$3:$G$1005,"&lt;&gt;",Acciones!$B$3:$B$1005,$H$1)</f>
        <v>#DIV/0!</v>
      </c>
      <c r="I27" s="14" t="str">
        <f>+Inicio!E33</f>
        <v xml:space="preserve"> </v>
      </c>
      <c r="J27" s="15" t="str">
        <f t="shared" si="0"/>
        <v xml:space="preserve"> </v>
      </c>
    </row>
    <row r="28" spans="1:10" x14ac:dyDescent="0.3">
      <c r="A28">
        <f ca="1">+WEEKNUM(TODAY(),21)-10</f>
        <v>30</v>
      </c>
      <c r="B28" t="str">
        <f t="shared" ca="1" si="1"/>
        <v>Semana 30</v>
      </c>
      <c r="C28" s="17" t="e">
        <f ca="1">(COUNTIFS(Acciones!$G$3:$G$1005,"&lt;="&amp;$A28,Acciones!$K$3:$K$1005,"Cerrado",Acciones!$B$3:$B$1005,$H$1)+COUNTIFS(Acciones!$G$3:$G$1005,"&lt;="&amp;$A28,Acciones!$K$3:$K$1005,"Cerrado con retraso",Acciones!$B$3:$B$1005,$H$1))/COUNTIFS(Acciones!$G$3:$G$1005,"&lt;&gt;",Acciones!$B$3:$B$1005,$H$1)</f>
        <v>#DIV/0!</v>
      </c>
      <c r="D28" s="17" t="e">
        <f ca="1">(COUNTIFS(Acciones!$G$3:$G$1005,"&lt;="&amp;$A28,Acciones!$K$3:$K$1005,"Cerrado",Acciones!$B$3:$B$1005,$H$1)+COUNTIFS(Acciones!$G$3:$G$1005,"&lt;="&amp;$A28,Acciones!$K$3:$K$1005,"Retrasado",Acciones!$B$3:$B$1005,$H$1)+COUNTIFS(Acciones!$G$3:$G$1005,"&lt;="&amp;$A28,Acciones!$K$3:$K$1005,"Cerrado con retraso",Acciones!$B$3:$B$1005,$H$1))/COUNTIFS(Acciones!$G$3:$G$1005,"&lt;&gt;",Acciones!$B$3:$B$1005,$H$1)</f>
        <v>#DIV/0!</v>
      </c>
      <c r="I28" s="14" t="str">
        <f>+Inicio!E34</f>
        <v xml:space="preserve"> </v>
      </c>
      <c r="J28" s="15" t="str">
        <f t="shared" si="0"/>
        <v xml:space="preserve"> </v>
      </c>
    </row>
    <row r="29" spans="1:10" x14ac:dyDescent="0.3">
      <c r="A29">
        <f ca="1">+WEEKNUM(TODAY(),21)-9</f>
        <v>31</v>
      </c>
      <c r="B29" t="str">
        <f t="shared" ca="1" si="1"/>
        <v>Semana 31</v>
      </c>
      <c r="C29" s="17" t="e">
        <f ca="1">(COUNTIFS(Acciones!$G$3:$G$1005,"&lt;="&amp;$A29,Acciones!$K$3:$K$1005,"Cerrado",Acciones!$B$3:$B$1005,$H$1)+COUNTIFS(Acciones!$G$3:$G$1005,"&lt;="&amp;$A29,Acciones!$K$3:$K$1005,"Cerrado con retraso",Acciones!$B$3:$B$1005,$H$1))/COUNTIFS(Acciones!$G$3:$G$1005,"&lt;&gt;",Acciones!$B$3:$B$1005,$H$1)</f>
        <v>#DIV/0!</v>
      </c>
      <c r="D29" s="17" t="e">
        <f ca="1">(COUNTIFS(Acciones!$G$3:$G$1005,"&lt;="&amp;$A29,Acciones!$K$3:$K$1005,"Cerrado",Acciones!$B$3:$B$1005,$H$1)+COUNTIFS(Acciones!$G$3:$G$1005,"&lt;="&amp;$A29,Acciones!$K$3:$K$1005,"Retrasado",Acciones!$B$3:$B$1005,$H$1)+COUNTIFS(Acciones!$G$3:$G$1005,"&lt;="&amp;$A29,Acciones!$K$3:$K$1005,"Cerrado con retraso",Acciones!$B$3:$B$1005,$H$1))/COUNTIFS(Acciones!$G$3:$G$1005,"&lt;&gt;",Acciones!$B$3:$B$1005,$H$1)</f>
        <v>#DIV/0!</v>
      </c>
      <c r="I29" s="14" t="str">
        <f>+Inicio!E35</f>
        <v xml:space="preserve"> </v>
      </c>
      <c r="J29" s="15" t="str">
        <f t="shared" si="0"/>
        <v xml:space="preserve"> </v>
      </c>
    </row>
    <row r="30" spans="1:10" x14ac:dyDescent="0.3">
      <c r="A30">
        <f ca="1">+WEEKNUM(TODAY(),21)-8</f>
        <v>32</v>
      </c>
      <c r="B30" t="str">
        <f t="shared" ca="1" si="1"/>
        <v>Semana 32</v>
      </c>
      <c r="C30" s="17" t="e">
        <f ca="1">(COUNTIFS(Acciones!$G$3:$G$1005,"&lt;="&amp;$A30,Acciones!$K$3:$K$1005,"Cerrado",Acciones!$B$3:$B$1005,$H$1)+COUNTIFS(Acciones!$G$3:$G$1005,"&lt;="&amp;$A30,Acciones!$K$3:$K$1005,"Cerrado con retraso",Acciones!$B$3:$B$1005,$H$1))/COUNTIFS(Acciones!$G$3:$G$1005,"&lt;&gt;",Acciones!$B$3:$B$1005,$H$1)</f>
        <v>#DIV/0!</v>
      </c>
      <c r="D30" s="17" t="e">
        <f ca="1">(COUNTIFS(Acciones!$G$3:$G$1005,"&lt;="&amp;$A30,Acciones!$K$3:$K$1005,"Cerrado",Acciones!$B$3:$B$1005,$H$1)+COUNTIFS(Acciones!$G$3:$G$1005,"&lt;="&amp;$A30,Acciones!$K$3:$K$1005,"Retrasado",Acciones!$B$3:$B$1005,$H$1)+COUNTIFS(Acciones!$G$3:$G$1005,"&lt;="&amp;$A30,Acciones!$K$3:$K$1005,"Cerrado con retraso",Acciones!$B$3:$B$1005,$H$1))/COUNTIFS(Acciones!$G$3:$G$1005,"&lt;&gt;",Acciones!$B$3:$B$1005,$H$1)</f>
        <v>#DIV/0!</v>
      </c>
      <c r="I30" s="14" t="str">
        <f>+Inicio!E36</f>
        <v xml:space="preserve"> </v>
      </c>
      <c r="J30" s="15" t="str">
        <f t="shared" si="0"/>
        <v xml:space="preserve"> </v>
      </c>
    </row>
    <row r="31" spans="1:10" x14ac:dyDescent="0.3">
      <c r="A31">
        <f ca="1">+WEEKNUM(TODAY(),21)-7</f>
        <v>33</v>
      </c>
      <c r="B31" t="str">
        <f t="shared" ca="1" si="1"/>
        <v>Semana 33</v>
      </c>
      <c r="C31" s="17" t="e">
        <f ca="1">(COUNTIFS(Acciones!$G$3:$G$1005,"&lt;="&amp;$A31,Acciones!$K$3:$K$1005,"Cerrado",Acciones!$B$3:$B$1005,$H$1)+COUNTIFS(Acciones!$G$3:$G$1005,"&lt;="&amp;$A31,Acciones!$K$3:$K$1005,"Cerrado con retraso",Acciones!$B$3:$B$1005,$H$1))/COUNTIFS(Acciones!$G$3:$G$1005,"&lt;&gt;",Acciones!$B$3:$B$1005,$H$1)</f>
        <v>#DIV/0!</v>
      </c>
      <c r="D31" s="17" t="e">
        <f ca="1">(COUNTIFS(Acciones!$G$3:$G$1005,"&lt;="&amp;$A31,Acciones!$K$3:$K$1005,"Cerrado",Acciones!$B$3:$B$1005,$H$1)+COUNTIFS(Acciones!$G$3:$G$1005,"&lt;="&amp;$A31,Acciones!$K$3:$K$1005,"Retrasado",Acciones!$B$3:$B$1005,$H$1)+COUNTIFS(Acciones!$G$3:$G$1005,"&lt;="&amp;$A31,Acciones!$K$3:$K$1005,"Cerrado con retraso",Acciones!$B$3:$B$1005,$H$1))/COUNTIFS(Acciones!$G$3:$G$1005,"&lt;&gt;",Acciones!$B$3:$B$1005,$H$1)</f>
        <v>#DIV/0!</v>
      </c>
      <c r="I31" s="14" t="str">
        <f>+Inicio!E37</f>
        <v xml:space="preserve"> </v>
      </c>
      <c r="J31" s="15" t="str">
        <f t="shared" si="0"/>
        <v xml:space="preserve"> </v>
      </c>
    </row>
    <row r="32" spans="1:10" x14ac:dyDescent="0.3">
      <c r="A32">
        <f ca="1">+WEEKNUM(TODAY(),21)-6</f>
        <v>34</v>
      </c>
      <c r="B32" t="str">
        <f t="shared" ca="1" si="1"/>
        <v>Semana 34</v>
      </c>
      <c r="C32" s="17" t="e">
        <f ca="1">(COUNTIFS(Acciones!$G$3:$G$1005,"&lt;="&amp;$A32,Acciones!$K$3:$K$1005,"Cerrado",Acciones!$B$3:$B$1005,$H$1)+COUNTIFS(Acciones!$G$3:$G$1005,"&lt;="&amp;$A32,Acciones!$K$3:$K$1005,"Cerrado con retraso",Acciones!$B$3:$B$1005,$H$1))/COUNTIFS(Acciones!$G$3:$G$1005,"&lt;&gt;",Acciones!$B$3:$B$1005,$H$1)</f>
        <v>#DIV/0!</v>
      </c>
      <c r="D32" s="17" t="e">
        <f ca="1">(COUNTIFS(Acciones!$G$3:$G$1005,"&lt;="&amp;$A32,Acciones!$K$3:$K$1005,"Cerrado",Acciones!$B$3:$B$1005,$H$1)+COUNTIFS(Acciones!$G$3:$G$1005,"&lt;="&amp;$A32,Acciones!$K$3:$K$1005,"Retrasado",Acciones!$B$3:$B$1005,$H$1)+COUNTIFS(Acciones!$G$3:$G$1005,"&lt;="&amp;$A32,Acciones!$K$3:$K$1005,"Cerrado con retraso",Acciones!$B$3:$B$1005,$H$1))/COUNTIFS(Acciones!$G$3:$G$1005,"&lt;&gt;",Acciones!$B$3:$B$1005,$H$1)</f>
        <v>#DIV/0!</v>
      </c>
      <c r="I32" s="14" t="str">
        <f>+Inicio!E38</f>
        <v xml:space="preserve"> </v>
      </c>
      <c r="J32" s="15" t="str">
        <f t="shared" si="0"/>
        <v xml:space="preserve"> </v>
      </c>
    </row>
    <row r="33" spans="1:10" x14ac:dyDescent="0.3">
      <c r="A33">
        <f ca="1">+WEEKNUM(TODAY(),21)-5</f>
        <v>35</v>
      </c>
      <c r="B33" t="str">
        <f t="shared" ca="1" si="1"/>
        <v>Semana 35</v>
      </c>
      <c r="C33" s="17" t="e">
        <f ca="1">(COUNTIFS(Acciones!$G$3:$G$1005,"&lt;="&amp;$A33,Acciones!$K$3:$K$1005,"Cerrado",Acciones!$B$3:$B$1005,$H$1)+COUNTIFS(Acciones!$G$3:$G$1005,"&lt;="&amp;$A33,Acciones!$K$3:$K$1005,"Cerrado con retraso",Acciones!$B$3:$B$1005,$H$1))/COUNTIFS(Acciones!$G$3:$G$1005,"&lt;&gt;",Acciones!$B$3:$B$1005,$H$1)</f>
        <v>#DIV/0!</v>
      </c>
      <c r="D33" s="17" t="e">
        <f ca="1">(COUNTIFS(Acciones!$G$3:$G$1005,"&lt;="&amp;$A33,Acciones!$K$3:$K$1005,"Cerrado",Acciones!$B$3:$B$1005,$H$1)+COUNTIFS(Acciones!$G$3:$G$1005,"&lt;="&amp;$A33,Acciones!$K$3:$K$1005,"Retrasado",Acciones!$B$3:$B$1005,$H$1)+COUNTIFS(Acciones!$G$3:$G$1005,"&lt;="&amp;$A33,Acciones!$K$3:$K$1005,"Cerrado con retraso",Acciones!$B$3:$B$1005,$H$1))/COUNTIFS(Acciones!$G$3:$G$1005,"&lt;&gt;",Acciones!$B$3:$B$1005,$H$1)</f>
        <v>#DIV/0!</v>
      </c>
      <c r="I33" s="14" t="str">
        <f>+Inicio!E39</f>
        <v xml:space="preserve"> </v>
      </c>
      <c r="J33" s="15" t="str">
        <f t="shared" si="0"/>
        <v xml:space="preserve"> </v>
      </c>
    </row>
    <row r="34" spans="1:10" x14ac:dyDescent="0.3">
      <c r="A34">
        <f ca="1">+WEEKNUM(TODAY(),21)-4</f>
        <v>36</v>
      </c>
      <c r="B34" t="str">
        <f t="shared" ca="1" si="1"/>
        <v>Semana 36</v>
      </c>
      <c r="C34" s="17" t="e">
        <f ca="1">(COUNTIFS(Acciones!$G$3:$G$1005,"&lt;="&amp;$A34,Acciones!$K$3:$K$1005,"Cerrado",Acciones!$B$3:$B$1005,$H$1)+COUNTIFS(Acciones!$G$3:$G$1005,"&lt;="&amp;$A34,Acciones!$K$3:$K$1005,"Cerrado con retraso",Acciones!$B$3:$B$1005,$H$1))/COUNTIFS(Acciones!$G$3:$G$1005,"&lt;&gt;",Acciones!$B$3:$B$1005,$H$1)</f>
        <v>#DIV/0!</v>
      </c>
      <c r="D34" s="17" t="e">
        <f ca="1">(COUNTIFS(Acciones!$G$3:$G$1005,"&lt;="&amp;$A34,Acciones!$K$3:$K$1005,"Cerrado",Acciones!$B$3:$B$1005,$H$1)+COUNTIFS(Acciones!$G$3:$G$1005,"&lt;="&amp;$A34,Acciones!$K$3:$K$1005,"Retrasado",Acciones!$B$3:$B$1005,$H$1)+COUNTIFS(Acciones!$G$3:$G$1005,"&lt;="&amp;$A34,Acciones!$K$3:$K$1005,"Cerrado con retraso",Acciones!$B$3:$B$1005,$H$1))/COUNTIFS(Acciones!$G$3:$G$1005,"&lt;&gt;",Acciones!$B$3:$B$1005,$H$1)</f>
        <v>#DIV/0!</v>
      </c>
      <c r="I34" s="14" t="str">
        <f>+Inicio!E40</f>
        <v xml:space="preserve"> </v>
      </c>
      <c r="J34" s="15" t="str">
        <f t="shared" si="0"/>
        <v xml:space="preserve"> </v>
      </c>
    </row>
    <row r="35" spans="1:10" x14ac:dyDescent="0.3">
      <c r="A35">
        <f ca="1">+WEEKNUM(TODAY(),21)-3</f>
        <v>37</v>
      </c>
      <c r="B35" t="str">
        <f t="shared" ca="1" si="1"/>
        <v>Semana 37</v>
      </c>
      <c r="C35" s="17" t="e">
        <f ca="1">(COUNTIFS(Acciones!$G$3:$G$1005,"&lt;="&amp;$A35,Acciones!$K$3:$K$1005,"Cerrado",Acciones!$B$3:$B$1005,$H$1)+COUNTIFS(Acciones!$G$3:$G$1005,"&lt;="&amp;$A35,Acciones!$K$3:$K$1005,"Cerrado con retraso",Acciones!$B$3:$B$1005,$H$1))/COUNTIFS(Acciones!$G$3:$G$1005,"&lt;&gt;",Acciones!$B$3:$B$1005,$H$1)</f>
        <v>#DIV/0!</v>
      </c>
      <c r="D35" s="17" t="e">
        <f ca="1">(COUNTIFS(Acciones!$G$3:$G$1005,"&lt;="&amp;$A35,Acciones!$K$3:$K$1005,"Cerrado",Acciones!$B$3:$B$1005,$H$1)+COUNTIFS(Acciones!$G$3:$G$1005,"&lt;="&amp;$A35,Acciones!$K$3:$K$1005,"Retrasado",Acciones!$B$3:$B$1005,$H$1)+COUNTIFS(Acciones!$G$3:$G$1005,"&lt;="&amp;$A35,Acciones!$K$3:$K$1005,"Cerrado con retraso",Acciones!$B$3:$B$1005,$H$1))/COUNTIFS(Acciones!$G$3:$G$1005,"&lt;&gt;",Acciones!$B$3:$B$1005,$H$1)</f>
        <v>#DIV/0!</v>
      </c>
      <c r="I35" s="14" t="str">
        <f>+Inicio!E41</f>
        <v xml:space="preserve"> </v>
      </c>
      <c r="J35" s="15" t="str">
        <f t="shared" si="0"/>
        <v xml:space="preserve"> </v>
      </c>
    </row>
    <row r="36" spans="1:10" x14ac:dyDescent="0.3">
      <c r="A36">
        <f ca="1">+WEEKNUM(TODAY(),21)-2</f>
        <v>38</v>
      </c>
      <c r="B36" t="str">
        <f t="shared" ca="1" si="1"/>
        <v>Semana 38</v>
      </c>
      <c r="C36" s="17" t="e">
        <f ca="1">(COUNTIFS(Acciones!$G$3:$G$1005,"&lt;="&amp;$A36,Acciones!$K$3:$K$1005,"Cerrado",Acciones!$B$3:$B$1005,$H$1)+COUNTIFS(Acciones!$G$3:$G$1005,"&lt;="&amp;$A36,Acciones!$K$3:$K$1005,"Cerrado con retraso",Acciones!$B$3:$B$1005,$H$1))/COUNTIFS(Acciones!$G$3:$G$1005,"&lt;&gt;",Acciones!$B$3:$B$1005,$H$1)</f>
        <v>#DIV/0!</v>
      </c>
      <c r="D36" s="17" t="e">
        <f ca="1">(COUNTIFS(Acciones!$G$3:$G$1005,"&lt;="&amp;$A36,Acciones!$K$3:$K$1005,"Cerrado",Acciones!$B$3:$B$1005,$H$1)+COUNTIFS(Acciones!$G$3:$G$1005,"&lt;="&amp;$A36,Acciones!$K$3:$K$1005,"Retrasado",Acciones!$B$3:$B$1005,$H$1)+COUNTIFS(Acciones!$G$3:$G$1005,"&lt;="&amp;$A36,Acciones!$K$3:$K$1005,"Cerrado con retraso",Acciones!$B$3:$B$1005,$H$1))/COUNTIFS(Acciones!$G$3:$G$1005,"&lt;&gt;",Acciones!$B$3:$B$1005,$H$1)</f>
        <v>#DIV/0!</v>
      </c>
      <c r="I36" s="14" t="str">
        <f>+Inicio!E42</f>
        <v xml:space="preserve"> </v>
      </c>
      <c r="J36" s="15" t="str">
        <f t="shared" si="0"/>
        <v xml:space="preserve"> </v>
      </c>
    </row>
    <row r="37" spans="1:10" x14ac:dyDescent="0.3">
      <c r="A37">
        <f ca="1">+WEEKNUM(TODAY(),21)-1</f>
        <v>39</v>
      </c>
      <c r="B37" t="str">
        <f ca="1">+"Semana "&amp;A37</f>
        <v>Semana 39</v>
      </c>
      <c r="C37" s="17" t="e">
        <f ca="1">(COUNTIFS(Acciones!$G$3:$G$1005,"&lt;="&amp;$A37,Acciones!$K$3:$K$1005,"Cerrado",Acciones!$B$3:$B$1005,$H$1)+COUNTIFS(Acciones!$G$3:$G$1005,"&lt;="&amp;$A37,Acciones!$K$3:$K$1005,"Cerrado con retraso",Acciones!$B$3:$B$1005,$H$1))/COUNTIFS(Acciones!$G$3:$G$1005,"&lt;&gt;",Acciones!$B$3:$B$1005,$H$1)</f>
        <v>#DIV/0!</v>
      </c>
      <c r="D37" s="17" t="e">
        <f ca="1">(COUNTIFS(Acciones!$G$3:$G$1005,"&lt;="&amp;$A37,Acciones!$K$3:$K$1005,"Cerrado",Acciones!$B$3:$B$1005,$H$1)+COUNTIFS(Acciones!$G$3:$G$1005,"&lt;="&amp;$A37,Acciones!$K$3:$K$1005,"Retrasado",Acciones!$B$3:$B$1005,$H$1)+COUNTIFS(Acciones!$G$3:$G$1005,"&lt;="&amp;$A37,Acciones!$K$3:$K$1005,"Cerrado con retraso",Acciones!$B$3:$B$1005,$H$1))/COUNTIFS(Acciones!$G$3:$G$1005,"&lt;&gt;",Acciones!$B$3:$B$1005,$H$1)</f>
        <v>#DIV/0!</v>
      </c>
      <c r="I37" s="14" t="str">
        <f>+Inicio!E43</f>
        <v xml:space="preserve"> </v>
      </c>
      <c r="J37" s="15" t="str">
        <f t="shared" si="0"/>
        <v xml:space="preserve"> </v>
      </c>
    </row>
    <row r="38" spans="1:10" x14ac:dyDescent="0.3">
      <c r="A38">
        <f ca="1">+WEEKNUM(TODAY(),21)</f>
        <v>40</v>
      </c>
      <c r="B38" t="str">
        <f ca="1">+"Semana "&amp;A38</f>
        <v>Semana 40</v>
      </c>
      <c r="C38" s="17" t="e">
        <f ca="1">(COUNTIFS(Acciones!$G$3:$G$1005,"&lt;="&amp;$A38,Acciones!$K$3:$K$1005,"Cerrado",Acciones!$B$3:$B$1005,$H$1)+COUNTIFS(Acciones!$G$3:$G$1005,"&lt;="&amp;$A38,Acciones!$K$3:$K$1005,"Cerrado con retraso",Acciones!$B$3:$B$1005,$H$1))/COUNTIFS(Acciones!$G$3:$G$1005,"&lt;&gt;",Acciones!$B$3:$B$1005,$H$1)</f>
        <v>#DIV/0!</v>
      </c>
      <c r="D38" s="17" t="e">
        <f ca="1">(COUNTIFS(Acciones!$G$3:$G$1005,"&lt;="&amp;$A38,Acciones!$K$3:$K$1005,"Cerrado",Acciones!$B$3:$B$1005,$H$1)+COUNTIFS(Acciones!$G$3:$G$1005,"&lt;="&amp;$A38,Acciones!$K$3:$K$1005,"Retrasado",Acciones!$B$3:$B$1005,$H$1)+COUNTIFS(Acciones!$G$3:$G$1005,"&lt;="&amp;$A38,Acciones!$K$3:$K$1005,"Cerrado con retraso",Acciones!$B$3:$B$1005,$H$1))/COUNTIFS(Acciones!$G$3:$G$1005,"&lt;&gt;",Acciones!$B$3:$B$1005,$H$1)</f>
        <v>#DIV/0!</v>
      </c>
      <c r="I38" s="14" t="str">
        <f>+Inicio!E44</f>
        <v xml:space="preserve"> </v>
      </c>
      <c r="J38" s="15" t="str">
        <f t="shared" si="0"/>
        <v xml:space="preserve"> </v>
      </c>
    </row>
    <row r="39" spans="1:10" x14ac:dyDescent="0.3">
      <c r="I39" s="14" t="str">
        <f>+Inicio!E45</f>
        <v xml:space="preserve"> </v>
      </c>
      <c r="J39" s="15" t="str">
        <f t="shared" si="0"/>
        <v xml:space="preserve"> </v>
      </c>
    </row>
    <row r="40" spans="1:10" x14ac:dyDescent="0.3">
      <c r="I40" s="14" t="str">
        <f>+Inicio!E46</f>
        <v xml:space="preserve"> </v>
      </c>
      <c r="J40" s="15" t="str">
        <f t="shared" si="0"/>
        <v xml:space="preserve"> </v>
      </c>
    </row>
  </sheetData>
  <customSheetViews>
    <customSheetView guid="{B60C2B29-843E-4A3D-B0FD-F091A51CE9F0}" state="hidden" topLeftCell="A13">
      <selection activeCell="K13" sqref="K13"/>
      <pageMargins left="0.7" right="0.7" top="0.75" bottom="0.75" header="0.3" footer="0.3"/>
    </customSheetView>
  </customSheetViews>
  <mergeCells count="1">
    <mergeCell ref="C2:G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40"/>
  <sheetViews>
    <sheetView topLeftCell="A16" workbookViewId="0">
      <selection activeCell="G18" sqref="G18"/>
    </sheetView>
  </sheetViews>
  <sheetFormatPr baseColWidth="10" defaultRowHeight="14.4" x14ac:dyDescent="0.3"/>
  <cols>
    <col min="1" max="1" width="22.5546875" customWidth="1"/>
    <col min="4" max="4" width="29.88671875" customWidth="1"/>
  </cols>
  <sheetData>
    <row r="1" spans="1:7" x14ac:dyDescent="0.3">
      <c r="A1" s="11" t="s">
        <v>14</v>
      </c>
      <c r="B1" s="11" t="s">
        <v>17</v>
      </c>
      <c r="D1" s="11" t="s">
        <v>12</v>
      </c>
      <c r="E1" s="11" t="s">
        <v>17</v>
      </c>
      <c r="G1" s="28" t="s">
        <v>47</v>
      </c>
    </row>
    <row r="2" spans="1:7" x14ac:dyDescent="0.3">
      <c r="A2" t="s">
        <v>15</v>
      </c>
      <c r="B2" t="s">
        <v>15</v>
      </c>
      <c r="D2" t="s">
        <v>98</v>
      </c>
      <c r="E2" t="s">
        <v>110</v>
      </c>
      <c r="G2" s="12" t="str">
        <f>+Inicio!E8</f>
        <v xml:space="preserve"> </v>
      </c>
    </row>
    <row r="3" spans="1:7" x14ac:dyDescent="0.3">
      <c r="A3" t="s">
        <v>24</v>
      </c>
      <c r="B3" t="s">
        <v>41</v>
      </c>
      <c r="D3" t="s">
        <v>90</v>
      </c>
      <c r="E3" t="s">
        <v>112</v>
      </c>
      <c r="G3" s="12" t="str">
        <f>+Inicio!E9</f>
        <v xml:space="preserve"> </v>
      </c>
    </row>
    <row r="4" spans="1:7" x14ac:dyDescent="0.3">
      <c r="A4" t="s">
        <v>21</v>
      </c>
      <c r="B4" t="s">
        <v>35</v>
      </c>
      <c r="D4" t="s">
        <v>102</v>
      </c>
      <c r="E4" t="s">
        <v>115</v>
      </c>
      <c r="G4" s="12" t="str">
        <f>+Inicio!E10</f>
        <v xml:space="preserve"> </v>
      </c>
    </row>
    <row r="5" spans="1:7" x14ac:dyDescent="0.3">
      <c r="A5" t="s">
        <v>30</v>
      </c>
      <c r="B5" t="s">
        <v>38</v>
      </c>
      <c r="D5" t="s">
        <v>99</v>
      </c>
      <c r="E5" t="s">
        <v>111</v>
      </c>
      <c r="G5" s="12" t="str">
        <f>+Inicio!E11</f>
        <v xml:space="preserve"> </v>
      </c>
    </row>
    <row r="6" spans="1:7" x14ac:dyDescent="0.3">
      <c r="A6" t="s">
        <v>16</v>
      </c>
      <c r="B6" t="s">
        <v>31</v>
      </c>
      <c r="D6" t="s">
        <v>91</v>
      </c>
      <c r="E6" t="s">
        <v>103</v>
      </c>
      <c r="G6" s="12" t="str">
        <f>+Inicio!E12</f>
        <v xml:space="preserve"> </v>
      </c>
    </row>
    <row r="7" spans="1:7" x14ac:dyDescent="0.3">
      <c r="A7" t="s">
        <v>18</v>
      </c>
      <c r="B7" t="s">
        <v>32</v>
      </c>
      <c r="D7" t="s">
        <v>100</v>
      </c>
      <c r="E7" t="s">
        <v>113</v>
      </c>
      <c r="G7" s="12" t="str">
        <f>+Inicio!E13</f>
        <v xml:space="preserve"> </v>
      </c>
    </row>
    <row r="8" spans="1:7" x14ac:dyDescent="0.3">
      <c r="A8" t="s">
        <v>25</v>
      </c>
      <c r="B8" t="s">
        <v>42</v>
      </c>
      <c r="D8" t="s">
        <v>116</v>
      </c>
      <c r="E8" t="s">
        <v>117</v>
      </c>
      <c r="G8" s="12" t="str">
        <f>+Inicio!E14</f>
        <v xml:space="preserve"> </v>
      </c>
    </row>
    <row r="9" spans="1:7" x14ac:dyDescent="0.3">
      <c r="A9" t="s">
        <v>28</v>
      </c>
      <c r="B9" t="s">
        <v>36</v>
      </c>
      <c r="D9" t="s">
        <v>92</v>
      </c>
      <c r="E9" t="s">
        <v>104</v>
      </c>
      <c r="G9" s="12" t="str">
        <f>+Inicio!E15</f>
        <v xml:space="preserve"> </v>
      </c>
    </row>
    <row r="10" spans="1:7" x14ac:dyDescent="0.3">
      <c r="A10" t="s">
        <v>29</v>
      </c>
      <c r="B10" t="s">
        <v>37</v>
      </c>
      <c r="D10" t="s">
        <v>93</v>
      </c>
      <c r="E10" t="s">
        <v>105</v>
      </c>
      <c r="G10" s="12" t="str">
        <f>+Inicio!E16</f>
        <v xml:space="preserve"> </v>
      </c>
    </row>
    <row r="11" spans="1:7" x14ac:dyDescent="0.3">
      <c r="A11" t="s">
        <v>19</v>
      </c>
      <c r="B11" t="s">
        <v>33</v>
      </c>
      <c r="D11" t="s">
        <v>94</v>
      </c>
      <c r="E11" t="s">
        <v>106</v>
      </c>
      <c r="G11" s="12" t="str">
        <f>+Inicio!E17</f>
        <v xml:space="preserve"> </v>
      </c>
    </row>
    <row r="12" spans="1:7" x14ac:dyDescent="0.3">
      <c r="A12" t="s">
        <v>43</v>
      </c>
      <c r="B12" t="s">
        <v>44</v>
      </c>
      <c r="D12" t="s">
        <v>96</v>
      </c>
      <c r="E12" t="s">
        <v>108</v>
      </c>
      <c r="G12" s="12" t="str">
        <f>+Inicio!E18</f>
        <v xml:space="preserve"> </v>
      </c>
    </row>
    <row r="13" spans="1:7" x14ac:dyDescent="0.3">
      <c r="A13" t="s">
        <v>27</v>
      </c>
      <c r="B13" t="s">
        <v>27</v>
      </c>
      <c r="D13" t="s">
        <v>97</v>
      </c>
      <c r="E13" t="s">
        <v>109</v>
      </c>
      <c r="G13" s="12" t="str">
        <f>+Inicio!E19</f>
        <v xml:space="preserve"> </v>
      </c>
    </row>
    <row r="14" spans="1:7" x14ac:dyDescent="0.3">
      <c r="A14" t="s">
        <v>26</v>
      </c>
      <c r="B14" t="s">
        <v>26</v>
      </c>
      <c r="D14" t="s">
        <v>95</v>
      </c>
      <c r="E14" t="s">
        <v>107</v>
      </c>
      <c r="G14" s="12" t="str">
        <f>+Inicio!E20</f>
        <v xml:space="preserve"> </v>
      </c>
    </row>
    <row r="15" spans="1:7" x14ac:dyDescent="0.3">
      <c r="A15" t="s">
        <v>23</v>
      </c>
      <c r="B15" t="s">
        <v>40</v>
      </c>
      <c r="D15" t="s">
        <v>101</v>
      </c>
      <c r="E15" t="s">
        <v>114</v>
      </c>
      <c r="G15" s="12" t="str">
        <f>+Inicio!E21</f>
        <v xml:space="preserve"> </v>
      </c>
    </row>
    <row r="16" spans="1:7" x14ac:dyDescent="0.3">
      <c r="A16" t="s">
        <v>22</v>
      </c>
      <c r="B16" t="s">
        <v>39</v>
      </c>
      <c r="G16" s="12" t="str">
        <f>+Inicio!E22</f>
        <v xml:space="preserve"> </v>
      </c>
    </row>
    <row r="17" spans="1:7" x14ac:dyDescent="0.3">
      <c r="A17" t="s">
        <v>20</v>
      </c>
      <c r="B17" t="s">
        <v>34</v>
      </c>
      <c r="G17" s="12" t="str">
        <f>+Inicio!E23</f>
        <v xml:space="preserve"> </v>
      </c>
    </row>
    <row r="18" spans="1:7" x14ac:dyDescent="0.3">
      <c r="G18" s="12" t="str">
        <f>+Inicio!E24</f>
        <v xml:space="preserve"> </v>
      </c>
    </row>
    <row r="19" spans="1:7" x14ac:dyDescent="0.3">
      <c r="G19" s="12" t="str">
        <f>+Inicio!E25</f>
        <v xml:space="preserve"> </v>
      </c>
    </row>
    <row r="20" spans="1:7" x14ac:dyDescent="0.3">
      <c r="G20" s="12" t="str">
        <f>+Inicio!E26</f>
        <v xml:space="preserve"> </v>
      </c>
    </row>
    <row r="21" spans="1:7" x14ac:dyDescent="0.3">
      <c r="G21" s="12" t="str">
        <f>+Inicio!E27</f>
        <v xml:space="preserve"> </v>
      </c>
    </row>
    <row r="22" spans="1:7" x14ac:dyDescent="0.3">
      <c r="G22" s="12" t="str">
        <f>+Inicio!E28</f>
        <v xml:space="preserve"> </v>
      </c>
    </row>
    <row r="23" spans="1:7" x14ac:dyDescent="0.3">
      <c r="G23" s="12" t="str">
        <f>+Inicio!E29</f>
        <v xml:space="preserve"> </v>
      </c>
    </row>
    <row r="24" spans="1:7" x14ac:dyDescent="0.3">
      <c r="G24" s="12" t="str">
        <f>+Inicio!E30</f>
        <v xml:space="preserve"> </v>
      </c>
    </row>
    <row r="25" spans="1:7" x14ac:dyDescent="0.3">
      <c r="G25" s="12" t="str">
        <f>+Inicio!E31</f>
        <v xml:space="preserve"> </v>
      </c>
    </row>
    <row r="26" spans="1:7" x14ac:dyDescent="0.3">
      <c r="G26" s="12" t="str">
        <f>+Inicio!E32</f>
        <v xml:space="preserve"> </v>
      </c>
    </row>
    <row r="27" spans="1:7" x14ac:dyDescent="0.3">
      <c r="G27" s="12" t="str">
        <f>+Inicio!E33</f>
        <v xml:space="preserve"> </v>
      </c>
    </row>
    <row r="28" spans="1:7" x14ac:dyDescent="0.3">
      <c r="G28" s="12" t="str">
        <f>+Inicio!E34</f>
        <v xml:space="preserve"> </v>
      </c>
    </row>
    <row r="29" spans="1:7" x14ac:dyDescent="0.3">
      <c r="G29" s="12" t="str">
        <f>+Inicio!E35</f>
        <v xml:space="preserve"> </v>
      </c>
    </row>
    <row r="30" spans="1:7" x14ac:dyDescent="0.3">
      <c r="G30" s="12" t="str">
        <f>+Inicio!E36</f>
        <v xml:space="preserve"> </v>
      </c>
    </row>
    <row r="31" spans="1:7" x14ac:dyDescent="0.3">
      <c r="G31" s="12" t="str">
        <f>+Inicio!E37</f>
        <v xml:space="preserve"> </v>
      </c>
    </row>
    <row r="32" spans="1:7" x14ac:dyDescent="0.3">
      <c r="G32" s="12" t="str">
        <f>+Inicio!E38</f>
        <v xml:space="preserve"> </v>
      </c>
    </row>
    <row r="33" spans="7:7" x14ac:dyDescent="0.3">
      <c r="G33" s="12" t="str">
        <f>+Inicio!E39</f>
        <v xml:space="preserve"> </v>
      </c>
    </row>
    <row r="34" spans="7:7" x14ac:dyDescent="0.3">
      <c r="G34" s="12" t="str">
        <f>+Inicio!E40</f>
        <v xml:space="preserve"> </v>
      </c>
    </row>
    <row r="35" spans="7:7" x14ac:dyDescent="0.3">
      <c r="G35" s="12" t="str">
        <f>+Inicio!E41</f>
        <v xml:space="preserve"> </v>
      </c>
    </row>
    <row r="36" spans="7:7" x14ac:dyDescent="0.3">
      <c r="G36" s="12" t="str">
        <f>+Inicio!E42</f>
        <v xml:space="preserve"> </v>
      </c>
    </row>
    <row r="37" spans="7:7" x14ac:dyDescent="0.3">
      <c r="G37" s="12" t="str">
        <f>+Inicio!E43</f>
        <v xml:space="preserve"> </v>
      </c>
    </row>
    <row r="38" spans="7:7" x14ac:dyDescent="0.3">
      <c r="G38" s="12" t="str">
        <f>+Inicio!E44</f>
        <v xml:space="preserve"> </v>
      </c>
    </row>
    <row r="39" spans="7:7" x14ac:dyDescent="0.3">
      <c r="G39" s="12" t="str">
        <f>+Inicio!E45</f>
        <v xml:space="preserve"> </v>
      </c>
    </row>
    <row r="40" spans="7:7" x14ac:dyDescent="0.3">
      <c r="G40" s="12" t="str">
        <f>+Inicio!E46</f>
        <v xml:space="preserve"> </v>
      </c>
    </row>
  </sheetData>
  <sortState ref="A3:B17">
    <sortCondition ref="A2"/>
  </sortState>
  <customSheetViews>
    <customSheetView guid="{B60C2B29-843E-4A3D-B0FD-F091A51CE9F0}" state="hidden" topLeftCell="A16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Acciones</vt:lpstr>
      <vt:lpstr>Tablero</vt:lpstr>
      <vt:lpstr>Indicadores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cpugacz</dc:creator>
  <cp:lastModifiedBy>cpugacz</cp:lastModifiedBy>
  <dcterms:created xsi:type="dcterms:W3CDTF">2021-07-27T17:01:42Z</dcterms:created>
  <dcterms:modified xsi:type="dcterms:W3CDTF">2021-10-05T19:35:07Z</dcterms:modified>
</cp:coreProperties>
</file>